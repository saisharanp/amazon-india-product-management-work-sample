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ca8ca5a034f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oring model" sheetId="1" r:id="R5f59600ad1a44240"/>
    <x:sheet xmlns:r="http://schemas.openxmlformats.org/officeDocument/2006/relationships" name="Assumptions" sheetId="2" r:id="R5f56755daa8a4305"/>
    <x:sheet xmlns:r="http://schemas.openxmlformats.org/officeDocument/2006/relationships" name="Decision log" sheetId="3" r:id="R13c71c89985f4445"/>
    <x:sheet xmlns:r="http://schemas.openxmlformats.org/officeDocument/2006/relationships" name="Sensitivity" sheetId="4" r:id="Rc502a944ff5a46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75569"/>
      <x:name val="Carlito"/>
    </x:font>
    <x:font>
      <x:i/>
      <x:sz val="11"/>
      <x:color rgb="FF7C5B00"/>
      <x:name val="Carlito"/>
    </x:font>
    <x:font>
      <x:b/>
      <x:sz val="11"/>
      <x:color rgb="FF16324F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sz val="10"/>
      <x:name val="Arial"/>
    </x:font>
    <x:font>
      <x:i/>
      <x:sz val="10"/>
      <x:color rgb="FF475569"/>
      <x:name val="Arial"/>
    </x:font>
    <x:font>
      <x:b/>
      <x:sz val="10"/>
      <x:color rgb="FF16324F"/>
      <x:name val="Arial"/>
    </x:font>
    <x:font>
      <x:b/>
      <x:sz val="10"/>
      <x:name val="Arial"/>
    </x:font>
    <x:font>
      <x:i/>
      <x:sz val="10"/>
      <x:color rgb="FF7C5B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3F5F7"/>
      </x:patternFill>
    </x:fill>
    <x:fill>
      <x:patternFill patternType="solid">
        <x:fgColor rgb="FFFFF1CC"/>
      </x:patternFill>
    </x:fill>
    <x:fill>
      <x:patternFill patternType="solid">
        <x:fgColor rgb="FFDCEAF7"/>
      </x:patternFill>
    </x:fill>
    <x:fill>
      <x:patternFill patternType="solid">
        <x:fgColor rgb="FFDDF3EF"/>
      </x:patternFill>
    </x:fill>
  </x:fills>
  <x:borders count="5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6" borderId="4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 wrapText="1"/>
    </x:xf>
    <x:xf numFmtId="200" fontId="5" fillId="6" borderId="4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9" fillId="5" borderId="2" xfId="0" applyNumberFormat="1" applyFont="1" applyFill="1" applyBorder="1" applyAlignment="1">
      <x:alignment vertical="center" wrapText="1"/>
    </x:xf>
    <x:xf numFmtId="0" fontId="9" fillId="5" borderId="3" xfId="0" applyNumberFormat="1" applyFont="1" applyFill="1" applyBorder="1" applyAlignment="1">
      <x:alignment vertical="center" wrapText="1"/>
    </x:xf>
    <x:xf numFmtId="0" fontId="10" fillId="6" borderId="4" xfId="0" applyNumberFormat="1" applyFont="1" applyFill="1" applyBorder="1" applyAlignment="1">
      <x:alignment vertical="top" wrapText="1"/>
    </x:xf>
    <x:xf numFmtId="200" fontId="10" fillId="6" borderId="4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200" fontId="7" fillId="0" borderId="2" xfId="0" applyNumberFormat="1" applyFont="1" applyFill="1" applyBorder="1" applyAlignment="1">
      <x:alignment vertical="top" wrapText="1"/>
    </x:xf>
    <x:xf numFmtId="0" fontId="11" fillId="4" borderId="0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133fdc09824189" /><Relationship Type="http://schemas.openxmlformats.org/officeDocument/2006/relationships/theme" Target="/xl/theme/theme1.xml" Id="Rece0a3ec333b4b1d" /><Relationship Type="http://schemas.openxmlformats.org/officeDocument/2006/relationships/sharedStrings" Target="/xl/sharedStrings.xml" Id="R3b080362dc6d4446" /><Relationship Type="http://schemas.openxmlformats.org/officeDocument/2006/relationships/worksheet" Target="/xl/worksheets/sheet1.xml" Id="R5f59600ad1a44240" /><Relationship Type="http://schemas.openxmlformats.org/officeDocument/2006/relationships/worksheet" Target="/xl/worksheets/sheet2.xml" Id="R5f56755daa8a4305" /><Relationship Type="http://schemas.openxmlformats.org/officeDocument/2006/relationships/worksheet" Target="/xl/worksheets/sheet3.xml" Id="R13c71c89985f4445" /><Relationship Type="http://schemas.openxmlformats.org/officeDocument/2006/relationships/worksheet" Target="/xl/worksheets/sheet4.xml" Id="Rc502a944ff5a46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0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</x:cols>
  <x:sheetData>
    <x:row r="1" ht="28" customHeight="1">
      <x:c r="A1" s="33" t="str">
        <x:v>Stage 2 — Opportunity Scoring Model</x:v>
      </x:c>
      <x:c r="B1" s="34"/>
      <x:c r="C1" s="34"/>
      <x:c r="D1" s="34"/>
      <x:c r="E1" s="34"/>
      <x:c r="F1" s="34"/>
      <x:c r="G1" s="34"/>
      <x:c r="H1" s="34"/>
      <x:c r="I1" s="34"/>
      <x:c r="J1" s="34"/>
    </x:row>
    <x:row r="2" ht="30" customHeight="1">
      <x:c r="A2" s="35" t="str">
        <x:v>Amazon India | RICE plus strategic alignment, evidence strength, and sensitivity</x:v>
      </x:c>
      <x:c r="B2" s="34"/>
      <x:c r="C2" s="34"/>
      <x:c r="D2" s="34"/>
      <x:c r="E2" s="34"/>
      <x:c r="F2" s="34"/>
      <x:c r="G2" s="34"/>
      <x:c r="H2" s="34"/>
      <x:c r="I2" s="34"/>
      <x:c r="J2" s="34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  <x:c r="J3" s="34"/>
    </x:row>
    <x:row r="4" ht="34" customHeight="1">
      <x:c r="A4" s="36" t="str">
        <x:v>Opportunity</x:v>
      </x:c>
      <x:c r="B4" s="37" t="str">
        <x:v>Reach</x:v>
      </x:c>
      <x:c r="C4" s="37" t="str">
        <x:v>Impact</x:v>
      </x:c>
      <x:c r="D4" s="37" t="str">
        <x:v>Confidence</x:v>
      </x:c>
      <x:c r="E4" s="37" t="str">
        <x:v>Effort</x:v>
      </x:c>
      <x:c r="F4" s="37" t="str">
        <x:v>RICE</x:v>
      </x:c>
      <x:c r="G4" s="37" t="str">
        <x:v>Strategic alignment</x:v>
      </x:c>
      <x:c r="H4" s="37" t="str">
        <x:v>Evidence strength</x:v>
      </x:c>
      <x:c r="I4" s="37" t="str">
        <x:v>Adjusted priority</x:v>
      </x:c>
      <x:c r="J4" s="38" t="str">
        <x:v>Recommendation</x:v>
      </x:c>
    </x:row>
    <x:row r="5" ht="42" customHeight="1">
      <x:c r="A5" s="39" t="str">
        <x:v>Delivered-but-not-received resolution layer</x:v>
      </x:c>
      <x:c r="B5" s="39" t="n">
        <x:v>8</x:v>
      </x:c>
      <x:c r="C5" s="39" t="n">
        <x:v>3</x:v>
      </x:c>
      <x:c r="D5" s="40" t="n">
        <x:v>0.8</x:v>
      </x:c>
      <x:c r="E5" s="39" t="n">
        <x:v>5</x:v>
      </x:c>
      <x:c r="F5" s="40" t="n">
        <x:f>B5*C5*D5/E5</x:f>
        <x:v>3.8400000000000007</x:v>
      </x:c>
      <x:c r="G5" s="39" t="n">
        <x:v>5</x:v>
      </x:c>
      <x:c r="H5" s="39" t="n">
        <x:v>5</x:v>
      </x:c>
      <x:c r="I5" s="40" t="n">
        <x:f>F5*G5*H5/25</x:f>
        <x:v>3.8400000000000007</x:v>
      </x:c>
      <x:c r="J5" s="39" t="str">
        <x:v>Primary</x:v>
      </x:c>
    </x:row>
    <x:row r="6" ht="42" customHeight="1">
      <x:c r="A6" s="41" t="str">
        <x:v>Refund transparency first</x:v>
      </x:c>
      <x:c r="B6" s="41" t="n">
        <x:v>6</x:v>
      </x:c>
      <x:c r="C6" s="41" t="n">
        <x:v>3</x:v>
      </x:c>
      <x:c r="D6" s="42" t="n">
        <x:v>0.85</x:v>
      </x:c>
      <x:c r="E6" s="41" t="n">
        <x:v>4</x:v>
      </x:c>
      <x:c r="F6" s="42" t="n">
        <x:f>B6*C6*D6/E6</x:f>
        <x:v>3.8249999999999997</x:v>
      </x:c>
      <x:c r="G6" s="41" t="n">
        <x:v>4</x:v>
      </x:c>
      <x:c r="H6" s="41" t="n">
        <x:v>4</x:v>
      </x:c>
      <x:c r="I6" s="42" t="n">
        <x:f>F6*G6*H6/25</x:f>
        <x:v>2.448</x:v>
      </x:c>
      <x:c r="J6" s="41" t="str">
        <x:v>Backup / adjacent</x:v>
      </x:c>
    </x:row>
    <x:row r="7" ht="42" customHeight="1">
      <x:c r="A7" s="41" t="str">
        <x:v>Support case ownership + escalation</x:v>
      </x:c>
      <x:c r="B7" s="41" t="n">
        <x:v>7</x:v>
      </x:c>
      <x:c r="C7" s="41" t="n">
        <x:v>3</x:v>
      </x:c>
      <x:c r="D7" s="42" t="n">
        <x:v>0.8</x:v>
      </x:c>
      <x:c r="E7" s="41" t="n">
        <x:v>5</x:v>
      </x:c>
      <x:c r="F7" s="42" t="n">
        <x:f>B7*C7*D7/E7</x:f>
        <x:v>3.3600000000000003</x:v>
      </x:c>
      <x:c r="G7" s="41" t="n">
        <x:v>4</x:v>
      </x:c>
      <x:c r="H7" s="41" t="n">
        <x:v>4</x:v>
      </x:c>
      <x:c r="I7" s="42" t="n">
        <x:f>F7*G7*H7/25</x:f>
        <x:v>2.1504000000000003</x:v>
      </x:c>
      <x:c r="J7" s="41" t="str">
        <x:v>Enabler</x:v>
      </x:c>
    </x:row>
    <x:row r="8" ht="42" customHeight="1">
      <x:c r="A8" s="41" t="str">
        <x:v>Delivery confidence + handoff verification</x:v>
      </x:c>
      <x:c r="B8" s="41" t="n">
        <x:v>7</x:v>
      </x:c>
      <x:c r="C8" s="41" t="n">
        <x:v>3</x:v>
      </x:c>
      <x:c r="D8" s="42" t="n">
        <x:v>0.7</x:v>
      </x:c>
      <x:c r="E8" s="41" t="n">
        <x:v>8</x:v>
      </x:c>
      <x:c r="F8" s="42" t="n">
        <x:f>B8*C8*D8/E8</x:f>
        <x:v>1.8375</x:v>
      </x:c>
      <x:c r="G8" s="41" t="n">
        <x:v>5</x:v>
      </x:c>
      <x:c r="H8" s="41" t="n">
        <x:v>4</x:v>
      </x:c>
      <x:c r="I8" s="42" t="n">
        <x:f>F8*G8*H8/25</x:f>
        <x:v>1.47</x:v>
      </x:c>
      <x:c r="J8" s="41" t="str">
        <x:v>Backup / later</x:v>
      </x:c>
    </x:row>
    <x:row r="9" ht="42" customHeight="1">
      <x:c r="A9" s="41" t="str">
        <x:v>Search and filter integrity</x:v>
      </x:c>
      <x:c r="B9" s="41" t="n">
        <x:v>5</x:v>
      </x:c>
      <x:c r="C9" s="41" t="n">
        <x:v>2</x:v>
      </x:c>
      <x:c r="D9" s="42" t="n">
        <x:v>0.6</x:v>
      </x:c>
      <x:c r="E9" s="41" t="n">
        <x:v>4</x:v>
      </x:c>
      <x:c r="F9" s="42" t="n">
        <x:f>B9*C9*D9/E9</x:f>
        <x:v>1.5</x:v>
      </x:c>
      <x:c r="G9" s="41" t="n">
        <x:v>3</x:v>
      </x:c>
      <x:c r="H9" s="41" t="n">
        <x:v>3</x:v>
      </x:c>
      <x:c r="I9" s="42" t="n">
        <x:f>F9*G9*H9/25</x:f>
        <x:v>0.54</x:v>
      </x:c>
      <x:c r="J9" s="41" t="str">
        <x:v>Later</x:v>
      </x:c>
    </x:row>
    <x:row r="10" ht="42" customHeight="1">
      <x:c r="A10" s="41" t="str">
        <x:v>Quantity and deadline confirmation</x:v>
      </x:c>
      <x:c r="B10" s="41" t="n">
        <x:v>3</x:v>
      </x:c>
      <x:c r="C10" s="41" t="n">
        <x:v>3</x:v>
      </x:c>
      <x:c r="D10" s="42" t="n">
        <x:v>0.6</x:v>
      </x:c>
      <x:c r="E10" s="41" t="n">
        <x:v>4</x:v>
      </x:c>
      <x:c r="F10" s="42" t="n">
        <x:f>B10*C10*D10/E10</x:f>
        <x:v>1.3499999999999999</x:v>
      </x:c>
      <x:c r="G10" s="41" t="n">
        <x:v>4</x:v>
      </x:c>
      <x:c r="H10" s="41" t="n">
        <x:v>2</x:v>
      </x:c>
      <x:c r="I10" s="42" t="n">
        <x:f>F10*G10*H10/25</x:f>
        <x:v>0.43199999999999994</x:v>
      </x:c>
      <x:c r="J10" s="41" t="str">
        <x:v>Later / edge case</x:v>
      </x:c>
    </x:row>
    <x:row r="11" ht="42" customHeight="1">
      <x:c r="A11" s="41" t="str">
        <x:v>Decision rule</x:v>
      </x:c>
      <x:c r="B11" s="41"/>
      <x:c r="C11" s="41"/>
      <x:c r="D11" s="41"/>
      <x:c r="E11" s="41"/>
      <x:c r="F11" s="41"/>
      <x:c r="G11" s="41"/>
      <x:c r="H11" s="41"/>
      <x:c r="I11" s="41"/>
      <x:c r="J11" s="41" t="str">
        <x:v>Select the highest evidence-adjusted opportunity that can be scoped to an MVP.</x:v>
      </x:c>
    </x:row>
    <x:row r="12" ht="34" customHeight="1">
      <x:c r="A12" s="43" t="str">
        <x:v>Adjusted priority = RICE × Strategic alignment × Evidence strength ÷ 25. This is a decision aid, not objective truth.</x:v>
      </x:c>
      <x:c r="B12" s="43"/>
      <x:c r="C12" s="43"/>
      <x:c r="D12" s="43"/>
      <x:c r="E12" s="43"/>
      <x:c r="F12" s="43"/>
      <x:c r="G12" s="43"/>
      <x:c r="H12" s="43"/>
      <x:c r="I12" s="43"/>
      <x:c r="J12" s="43"/>
    </x:row>
  </x:sheetData>
  <x:mergeCells>
    <x:mergeCell ref="A1:J1"/>
    <x:mergeCell ref="A2:J2"/>
    <x:mergeCell ref="A12:J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56" hidden="0" customWidth="1"/>
    <x:col min="4" max="4" width="62" hidden="0" customWidth="1"/>
  </x:cols>
  <x:sheetData>
    <x:row r="1" ht="28" customHeight="1">
      <x:c r="A1" s="33" t="str">
        <x:v>Scoring Assumptions</x:v>
      </x:c>
      <x:c r="B1" s="34"/>
      <x:c r="C1" s="34"/>
      <x:c r="D1" s="34"/>
    </x:row>
    <x:row r="2" ht="30" customHeight="1">
      <x:c r="A2" s="35" t="str">
        <x:v>Definitions and calibration rules for the Stage 2 prioritization model.</x:v>
      </x:c>
      <x:c r="B2" s="34"/>
      <x:c r="C2" s="34"/>
      <x:c r="D2" s="34"/>
    </x:row>
    <x:row r="3">
      <x:c r="A3" s="34"/>
      <x:c r="B3" s="34"/>
      <x:c r="C3" s="34"/>
      <x:c r="D3" s="34"/>
    </x:row>
    <x:row r="4" ht="34" customHeight="1">
      <x:c r="A4" s="36" t="str">
        <x:v>Input</x:v>
      </x:c>
      <x:c r="B4" s="37" t="str">
        <x:v>Scale</x:v>
      </x:c>
      <x:c r="C4" s="37" t="str">
        <x:v>Calibration rule</x:v>
      </x:c>
      <x:c r="D4" s="38" t="str">
        <x:v>Current rationale</x:v>
      </x:c>
    </x:row>
    <x:row r="5" ht="50" customHeight="1">
      <x:c r="A5" s="44" t="str">
        <x:v>Reach</x:v>
      </x:c>
      <x:c r="B5" s="44" t="str">
        <x:v>1–10</x:v>
      </x:c>
      <x:c r="C5" s="44" t="str">
        <x:v>Estimated share of exception journeys affected in target scope</x:v>
      </x:c>
      <x:c r="D5" s="44" t="str">
        <x:v>Unified exception experience touches delivery, support, and recovery</x:v>
      </x:c>
    </x:row>
    <x:row r="6" ht="50" customHeight="1">
      <x:c r="A6" s="41" t="str">
        <x:v>Impact</x:v>
      </x:c>
      <x:c r="B6" s="41" t="str">
        <x:v>1–3</x:v>
      </x:c>
      <x:c r="C6" s="41" t="str">
        <x:v>1 = helpful; 2 = meaningful; 3 = trust, financial, or retention impact</x:v>
      </x:c>
      <x:c r="D6" s="41" t="str">
        <x:v>Delivery and refund exceptions carry high customer harm</x:v>
      </x:c>
    </x:row>
    <x:row r="7" ht="50" customHeight="1">
      <x:c r="A7" s="41" t="str">
        <x:v>Confidence</x:v>
      </x:c>
      <x:c r="B7" s="41" t="str">
        <x:v>0.0–1.0</x:v>
      </x:c>
      <x:c r="C7" s="41" t="str">
        <x:v>Evidence confidence based on repetition and source quality</x:v>
      </x:c>
      <x:c r="D7" s="41" t="str">
        <x:v>Public sample is directional; confidence is below 1.0</x:v>
      </x:c>
    </x:row>
    <x:row r="8" ht="50" customHeight="1">
      <x:c r="A8" s="41" t="str">
        <x:v>Effort</x:v>
      </x:c>
      <x:c r="B8" s="41" t="str">
        <x:v>1–10</x:v>
      </x:c>
      <x:c r="C8" s="41" t="str">
        <x:v>1 = small change; 10 = cross-system or operational redesign</x:v>
      </x:c>
      <x:c r="D8" s="41" t="str">
        <x:v>Cross-system timeline requires higher effort than display-only transparency</x:v>
      </x:c>
    </x:row>
    <x:row r="9" ht="50" customHeight="1">
      <x:c r="A9" s="41" t="str">
        <x:v>Strategic alignment</x:v>
      </x:c>
      <x:c r="B9" s="41" t="str">
        <x:v>1–5</x:v>
      </x:c>
      <x:c r="C9" s="41" t="str">
        <x:v>Fit with Amazon convenience, trust, and retention strategy</x:v>
      </x:c>
      <x:c r="D9" s="41" t="str">
        <x:v>Recovery reliability protects the core proposition</x:v>
      </x:c>
    </x:row>
    <x:row r="10" ht="50" customHeight="1">
      <x:c r="A10" s="41" t="str">
        <x:v>Evidence strength</x:v>
      </x:c>
      <x:c r="B10" s="41" t="str">
        <x:v>1–5</x:v>
      </x:c>
      <x:c r="C10" s="41" t="str">
        <x:v>1 = isolated; 5 = repeated across primary and secondary sources</x:v>
      </x:c>
      <x:c r="D10" s="41" t="str">
        <x:v>Delivery/support signals repeat across App Store, Reddit, and service reviews</x:v>
      </x:c>
    </x:row>
    <x:row r="11" ht="50" customHeight="1">
      <x:c r="A11" s="41" t="str">
        <x:v>Primary recommendation</x:v>
      </x:c>
      <x:c r="B11" s="41" t="str">
        <x:v>Qualitative</x:v>
      </x:c>
      <x:c r="C11" s="41" t="str">
        <x:v>Use score plus feasibility and MVP scope</x:v>
      </x:c>
      <x:c r="D11" s="41" t="str">
        <x:v>Unified timeline + ownership; start with one exception type</x:v>
      </x:c>
    </x:row>
    <x:row r="12" ht="50" customHeight="1">
      <x:c r="A12" s="41" t="str">
        <x:v>Validation needed</x:v>
      </x:c>
      <x:c r="B12" s="41" t="str">
        <x:v>Qualitative</x:v>
      </x:c>
      <x:c r="C12" s="41" t="str">
        <x:v>Replace public-evidence assumptions with internal data</x:v>
      </x:c>
      <x:c r="D12" s="41" t="str">
        <x:v>Incident rate, repeat contact, refund settlement, and retention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58" hidden="0" customWidth="1"/>
    <x:col min="4" max="4" width="22" hidden="0" customWidth="1"/>
    <x:col min="5" max="5" width="16" hidden="0" customWidth="1"/>
    <x:col min="6" max="6" width="36" hidden="0" customWidth="1"/>
  </x:cols>
  <x:sheetData>
    <x:row r="1" ht="28" customHeight="1">
      <x:c r="A1" s="33" t="str">
        <x:v>Stage 2 Decision Log</x:v>
      </x:c>
      <x:c r="B1" s="34"/>
      <x:c r="C1" s="34"/>
      <x:c r="D1" s="34"/>
      <x:c r="E1" s="34"/>
      <x:c r="F1" s="34"/>
    </x:row>
    <x:row r="2" ht="30" customHeight="1">
      <x:c r="A2" s="35" t="str">
        <x:v>Record reviewer decisions before moving to Stage 3 solution discovery.</x:v>
      </x:c>
      <x:c r="B2" s="34"/>
      <x:c r="C2" s="34"/>
      <x:c r="D2" s="34"/>
      <x:c r="E2" s="34"/>
      <x:c r="F2" s="34"/>
    </x:row>
    <x:row r="3">
      <x:c r="A3" s="34"/>
      <x:c r="B3" s="34"/>
      <x:c r="C3" s="34"/>
      <x:c r="D3" s="34"/>
      <x:c r="E3" s="34"/>
      <x:c r="F3" s="34"/>
    </x:row>
    <x:row r="4" ht="34" customHeight="1">
      <x:c r="A4" s="36" t="str">
        <x:v>Decision ID</x:v>
      </x:c>
      <x:c r="B4" s="37" t="str">
        <x:v>Decision</x:v>
      </x:c>
      <x:c r="C4" s="37" t="str">
        <x:v>Recommendation</x:v>
      </x:c>
      <x:c r="D4" s="37" t="str">
        <x:v>Reviewer decision</x:v>
      </x:c>
      <x:c r="E4" s="37" t="str">
        <x:v>Date</x:v>
      </x:c>
      <x:c r="F4" s="38" t="str">
        <x:v>Notes</x:v>
      </x:c>
    </x:row>
    <x:row r="5" ht="36" customHeight="1">
      <x:c r="A5" s="44" t="str">
        <x:v>D01</x:v>
      </x:c>
      <x:c r="B5" s="44" t="str">
        <x:v>Problem area</x:v>
      </x:c>
      <x:c r="C5" s="44" t="str">
        <x:v>Approve bounded delivered-but-not-received resolution layer</x:v>
      </x:c>
      <x:c r="D5" s="44" t="str">
        <x:v>Awaiting approval</x:v>
      </x:c>
      <x:c r="E5" s="44" t="str"/>
      <x:c r="F5" s="44" t="str"/>
    </x:row>
    <x:row r="6" ht="36" customHeight="1">
      <x:c r="A6" s="41" t="str">
        <x:v>D02</x:v>
      </x:c>
      <x:c r="B6" s="41" t="str">
        <x:v>MVP exception type</x:v>
      </x:c>
      <x:c r="C6" s="41" t="str">
        <x:v>Approve delivered but not received as first MVP; retain refund-pending as adjacent</x:v>
      </x:c>
      <x:c r="D6" s="41" t="str">
        <x:v>Awaiting approval</x:v>
      </x:c>
      <x:c r="E6" s="41" t="str"/>
      <x:c r="F6" s="41" t="str"/>
    </x:row>
    <x:row r="7" ht="36" customHeight="1">
      <x:c r="A7" s="41" t="str">
        <x:v>D03</x:v>
      </x:c>
      <x:c r="B7" s="41" t="str">
        <x:v>Strategic option</x:v>
      </x:c>
      <x:c r="C7" s="41" t="str">
        <x:v>Approve Option A; use support ownership as an enabler and refund transparency as adjacent</x:v>
      </x:c>
      <x:c r="D7" s="41" t="str">
        <x:v>Awaiting approval</x:v>
      </x:c>
      <x:c r="E7" s="41" t="str"/>
      <x:c r="F7" s="41" t="str"/>
    </x:row>
    <x:row r="8" ht="36" customHeight="1">
      <x:c r="A8" s="41" t="str">
        <x:v>D04</x:v>
      </x:c>
      <x:c r="B8" s="41" t="str">
        <x:v>Scoring model</x:v>
      </x:c>
      <x:c r="C8" s="41" t="str">
        <x:v>Approve RICE plus alignment/evidence adjustment</x:v>
      </x:c>
      <x:c r="D8" s="41" t="str">
        <x:v>Awaiting approval</x:v>
      </x:c>
      <x:c r="E8" s="41" t="str"/>
      <x:c r="F8" s="41" t="str"/>
    </x:row>
    <x:row r="9" ht="36" customHeight="1">
      <x:c r="A9" s="41" t="str">
        <x:v>D05</x:v>
      </x:c>
      <x:c r="B9" s="41" t="str">
        <x:v>Stage 3 gate</x:v>
      </x:c>
      <x:c r="C9" s="41" t="str">
        <x:v>Proceed to solution concepts after D01–D04</x:v>
      </x:c>
      <x:c r="D9" s="41" t="str">
        <x:v>Blocked</x:v>
      </x:c>
      <x:c r="E9" s="41" t="str"/>
      <x:c r="F9" s="41" t="str"/>
    </x:row>
  </x:sheetData>
  <x:mergeCells>
    <x:mergeCell ref="A1:F1"/>
    <x:mergeCell ref="A2:F2"/>
  </x:mergeCells>
  <x:dataValidations count="1">
    <x:dataValidation type="list" sqref="D5:D9">
      <x:formula1>"Awaiting approval,Approved,Revise,Blocked"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8" hidden="0" customWidth="1"/>
    <x:col min="8" max="8" width="52" hidden="0" customWidth="1"/>
  </x:cols>
  <x:sheetData>
    <x:row r="1" ht="28" customHeight="1">
      <x:c r="A1" s="33" t="str">
        <x:v>Scoring Sensitivity</x:v>
      </x:c>
      <x:c r="B1" s="34"/>
      <x:c r="C1" s="34"/>
      <x:c r="D1" s="34"/>
      <x:c r="E1" s="34"/>
      <x:c r="F1" s="34"/>
      <x:c r="G1" s="34"/>
      <x:c r="H1" s="34"/>
    </x:row>
    <x:row r="2" ht="30" customHeight="1">
      <x:c r="A2" s="35" t="str">
        <x:v>Test whether the delivered-but-not-received recommendation survives reasonable assumption changes.</x:v>
      </x:c>
      <x:c r="B2" s="34"/>
      <x:c r="C2" s="34"/>
      <x:c r="D2" s="34"/>
      <x:c r="E2" s="34"/>
      <x:c r="F2" s="34"/>
      <x:c r="G2" s="34"/>
      <x:c r="H2" s="34"/>
    </x:row>
    <x:row r="3">
      <x:c r="A3" s="34"/>
      <x:c r="B3" s="34"/>
      <x:c r="C3" s="34"/>
      <x:c r="D3" s="34"/>
      <x:c r="E3" s="34"/>
      <x:c r="F3" s="34"/>
      <x:c r="G3" s="34"/>
      <x:c r="H3" s="34"/>
    </x:row>
    <x:row r="4">
      <x:c r="A4" s="36" t="str">
        <x:v>Scenario</x:v>
      </x:c>
      <x:c r="B4" s="37" t="str">
        <x:v>Reach</x:v>
      </x:c>
      <x:c r="C4" s="37" t="str">
        <x:v>Impact</x:v>
      </x:c>
      <x:c r="D4" s="37" t="str">
        <x:v>Confidence</x:v>
      </x:c>
      <x:c r="E4" s="37" t="str">
        <x:v>Effort</x:v>
      </x:c>
      <x:c r="F4" s="37" t="str">
        <x:v>RICE</x:v>
      </x:c>
      <x:c r="G4" s="37" t="str">
        <x:v>Adjusted priority</x:v>
      </x:c>
      <x:c r="H4" s="38" t="str">
        <x:v>Interpretation</x:v>
      </x:c>
    </x:row>
    <x:row r="5" ht="42" customHeight="1">
      <x:c r="A5" s="39" t="str">
        <x:v>Base case</x:v>
      </x:c>
      <x:c r="B5" s="39" t="n">
        <x:v>8</x:v>
      </x:c>
      <x:c r="C5" s="39" t="n">
        <x:v>3</x:v>
      </x:c>
      <x:c r="D5" s="40" t="n">
        <x:v>0.8</x:v>
      </x:c>
      <x:c r="E5" s="39" t="n">
        <x:v>5</x:v>
      </x:c>
      <x:c r="F5" s="40" t="n">
        <x:f>B5*C5*D5/E5</x:f>
        <x:v>3.8400000000000007</x:v>
      </x:c>
      <x:c r="G5" s="40" t="n">
        <x:f>F5*5*5/25</x:f>
        <x:v>3.8400000000000007</x:v>
      </x:c>
      <x:c r="H5" s="39" t="str">
        <x:v>Primary recommendation</x:v>
      </x:c>
    </x:row>
    <x:row r="6" ht="42" customHeight="1">
      <x:c r="A6" s="41" t="str">
        <x:v>Reach -25%</x:v>
      </x:c>
      <x:c r="B6" s="41" t="n">
        <x:v>6</x:v>
      </x:c>
      <x:c r="C6" s="41" t="n">
        <x:v>3</x:v>
      </x:c>
      <x:c r="D6" s="42" t="n">
        <x:v>0.8</x:v>
      </x:c>
      <x:c r="E6" s="41" t="n">
        <x:v>5</x:v>
      </x:c>
      <x:c r="F6" s="42" t="n">
        <x:f>B6*C6*D6/E6</x:f>
        <x:v>2.88</x:v>
      </x:c>
      <x:c r="G6" s="42" t="n">
        <x:f>F6*5*5/25</x:f>
        <x:v>2.88</x:v>
      </x:c>
      <x:c r="H6" s="41" t="str">
        <x:v>Tests whether smaller addressable volume changes the decision</x:v>
      </x:c>
    </x:row>
    <x:row r="7" ht="42" customHeight="1">
      <x:c r="A7" s="41" t="str">
        <x:v>Impact -1</x:v>
      </x:c>
      <x:c r="B7" s="41" t="n">
        <x:v>8</x:v>
      </x:c>
      <x:c r="C7" s="41" t="n">
        <x:v>2</x:v>
      </x:c>
      <x:c r="D7" s="42" t="n">
        <x:v>0.8</x:v>
      </x:c>
      <x:c r="E7" s="41" t="n">
        <x:v>5</x:v>
      </x:c>
      <x:c r="F7" s="42" t="n">
        <x:f>B7*C7*D7/E7</x:f>
        <x:v>2.56</x:v>
      </x:c>
      <x:c r="G7" s="42" t="n">
        <x:f>F7*5*5/25</x:f>
        <x:v>2.56</x:v>
      </x:c>
      <x:c r="H7" s="41" t="str">
        <x:v>Tests a meaningful rather than trust-critical impact</x:v>
      </x:c>
    </x:row>
    <x:row r="8" ht="42" customHeight="1">
      <x:c r="A8" s="41" t="str">
        <x:v>Confidence -0.2</x:v>
      </x:c>
      <x:c r="B8" s="41" t="n">
        <x:v>8</x:v>
      </x:c>
      <x:c r="C8" s="41" t="n">
        <x:v>3</x:v>
      </x:c>
      <x:c r="D8" s="42" t="n">
        <x:v>0.6</x:v>
      </x:c>
      <x:c r="E8" s="41" t="n">
        <x:v>5</x:v>
      </x:c>
      <x:c r="F8" s="42" t="n">
        <x:f>B8*C8*D8/E8</x:f>
        <x:v>2.88</x:v>
      </x:c>
      <x:c r="G8" s="42" t="n">
        <x:f>F8*5*5/25</x:f>
        <x:v>2.88</x:v>
      </x:c>
      <x:c r="H8" s="41" t="str">
        <x:v>Reflects weaker public-evidence confidence</x:v>
      </x:c>
    </x:row>
    <x:row r="9" ht="42" customHeight="1">
      <x:c r="A9" s="41" t="str">
        <x:v>Effort +2</x:v>
      </x:c>
      <x:c r="B9" s="41" t="n">
        <x:v>8</x:v>
      </x:c>
      <x:c r="C9" s="41" t="n">
        <x:v>3</x:v>
      </x:c>
      <x:c r="D9" s="42" t="n">
        <x:v>0.8</x:v>
      </x:c>
      <x:c r="E9" s="41" t="n">
        <x:v>7</x:v>
      </x:c>
      <x:c r="F9" s="42" t="n">
        <x:f>B9*C9*D9/E9</x:f>
        <x:v>2.7428571428571433</x:v>
      </x:c>
      <x:c r="G9" s="42" t="n">
        <x:f>F9*5*5/25</x:f>
        <x:v>2.7428571428571433</x:v>
      </x:c>
      <x:c r="H9" s="41" t="str">
        <x:v>Reflects added integration or operational cost</x:v>
      </x:c>
    </x:row>
    <x:row r="10" ht="42" customHeight="1">
      <x:c r="A10" s="41" t="str">
        <x:v>Refund transparency comparator</x:v>
      </x:c>
      <x:c r="B10" s="41" t="n">
        <x:v>6</x:v>
      </x:c>
      <x:c r="C10" s="41" t="n">
        <x:v>3</x:v>
      </x:c>
      <x:c r="D10" s="42" t="n">
        <x:v>0.85</x:v>
      </x:c>
      <x:c r="E10" s="41" t="n">
        <x:v>4</x:v>
      </x:c>
      <x:c r="F10" s="42" t="n">
        <x:f>B10*C10*D10/E10</x:f>
        <x:v>3.8249999999999997</x:v>
      </x:c>
      <x:c r="G10" s="42" t="n">
        <x:f>F10*5*5/25</x:f>
        <x:v>3.825</x:v>
      </x:c>
      <x:c r="H10" s="41" t="str">
        <x:v>Adjacent option for comparison; not the selected MVP</x:v>
      </x:c>
    </x:row>
  </x:sheetData>
  <x:mergeCells>
    <x:mergeCell ref="A1:H1"/>
    <x:mergeCell ref="A2:H2"/>
  </x:mergeCells>
  <x:pageMargins left="0.7" right="0.7" top="0.75" bottom="0.75" header="0.3" footer="0.3"/>
</x:worksheet>
</file>