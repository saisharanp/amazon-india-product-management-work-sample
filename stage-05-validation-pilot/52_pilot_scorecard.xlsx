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e36f87655c46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 replay" sheetId="1" r:id="R6fee337afbc34e60"/>
    <x:sheet xmlns:r="http://schemas.openxmlformats.org/officeDocument/2006/relationships" name="Pilot scorecard" sheetId="2" r:id="Rd6bfe769f8214081"/>
    <x:sheet xmlns:r="http://schemas.openxmlformats.org/officeDocument/2006/relationships" name="Decision log" sheetId="3" r:id="R9041cbf58bcd44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"/>
    <x:numFmt numFmtId="202" formatCode="0"/>
    <x:numFmt numFmtId="203" formatCode="0.0%"/>
  </x:numFmts>
  <x:fonts count="13">
    <x:font>
      <x:sz val="11"/>
      <x:name val="Carlito"/>
    </x:font>
    <x:font>
      <x:b/>
      <x:sz val="10"/>
      <x:color rgb="FFFFFFFF"/>
      <x:name val="Carlito"/>
    </x:font>
    <x:font>
      <x:i/>
      <x:sz val="11"/>
      <x:color rgb="FF7C5B00"/>
      <x:name val="Carlito"/>
    </x:font>
    <x:font>
      <x:b/>
      <x:sz val="16"/>
      <x:color rgb="FFFFFFFF"/>
      <x:name val="Carlito"/>
    </x:font>
    <x:font>
      <x:i/>
      <x:sz val="10"/>
      <x:color rgb="FF475569"/>
      <x:name val="Carlito"/>
    </x:font>
    <x:font>
      <x:b/>
      <x:sz val="11"/>
      <x:color rgb="FF16324F"/>
      <x:name val="Carlito"/>
    </x:font>
    <x:font>
      <x:b/>
      <x:sz val="11"/>
      <x:color rgb="FF7C5B00"/>
      <x:name val="Carlito"/>
    </x:font>
    <x:font>
      <x:b/>
      <x:sz val="10"/>
      <x:color rgb="FFFFFFFF"/>
      <x:name val="Arial"/>
    </x:font>
    <x:font>
      <x:sz val="10"/>
      <x:name val="Arial"/>
    </x:font>
    <x:font>
      <x:i/>
      <x:sz val="10"/>
      <x:color rgb="FF7C5B00"/>
      <x:name val="Arial"/>
    </x:font>
    <x:font>
      <x:i/>
      <x:sz val="10"/>
      <x:color rgb="FF475569"/>
      <x:name val="Arial"/>
    </x:font>
    <x:font>
      <x:b/>
      <x:sz val="10"/>
      <x:color rgb="FF16324F"/>
      <x:name val="Arial"/>
    </x:font>
    <x:font>
      <x:b/>
      <x:sz val="10"/>
      <x:color rgb="FF7C5B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8FAFC"/>
      </x:patternFill>
    </x:fill>
    <x:fill>
      <x:patternFill patternType="solid">
        <x:fgColor rgb="FFDDF3EF"/>
      </x:patternFill>
    </x:fill>
    <x:fill>
      <x:patternFill patternType="solid">
        <x:fgColor rgb="FFFFF1CC"/>
      </x:patternFill>
    </x:fill>
    <x:fill>
      <x:patternFill patternType="solid">
        <x:fgColor rgb="FFF3F5F7"/>
      </x:patternFill>
    </x:fill>
    <x:fill>
      <x:patternFill patternType="solid">
        <x:fgColor rgb="FFDCEAF7"/>
      </x:patternFill>
    </x:fill>
  </x:fills>
  <x:borders count="10">
    <x:border/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200" fontId="0" fillId="3" borderId="2" xfId="0" applyNumberFormat="1" applyFont="1" applyFill="1" applyBorder="1" applyAlignment="1">
      <x:alignment vertical="top" wrapText="1"/>
    </x:xf>
    <x:xf numFmtId="200" fontId="0" fillId="3" borderId="3" xfId="0" applyNumberFormat="1" applyFont="1" applyFill="1" applyBorder="1" applyAlignment="1">
      <x:alignment vertical="top" wrapText="1"/>
    </x:xf>
    <x:xf numFmtId="200" fontId="0" fillId="4" borderId="3" xfId="0" applyNumberFormat="1" applyFont="1" applyFill="1" applyBorder="1" applyAlignment="1">
      <x:alignment vertical="top" wrapText="1"/>
    </x:xf>
    <x:xf numFmtId="200" fontId="0" fillId="3" borderId="4" xfId="0" applyNumberFormat="1" applyFont="1" applyFill="1" applyBorder="1" applyAlignment="1">
      <x:alignment vertical="top" wrapText="1"/>
    </x:xf>
    <x:xf numFmtId="200" fontId="0" fillId="3" borderId="5" xfId="0" applyNumberFormat="1" applyFont="1" applyFill="1" applyBorder="1" applyAlignment="1">
      <x:alignment vertical="top" wrapText="1"/>
    </x:xf>
    <x:xf numFmtId="200" fontId="0" fillId="4" borderId="5" xfId="0" applyNumberFormat="1" applyFont="1" applyFill="1" applyBorder="1" applyAlignment="1">
      <x:alignment vertical="top" wrapText="1"/>
    </x:xf>
    <x:xf numFmtId="201" fontId="0" fillId="3" borderId="2" xfId="0" applyNumberFormat="1" applyFont="1" applyFill="1" applyBorder="1" applyAlignment="1">
      <x:alignment vertical="top" wrapText="1"/>
    </x:xf>
    <x:xf numFmtId="201" fontId="0" fillId="3" borderId="3" xfId="0" applyNumberFormat="1" applyFont="1" applyFill="1" applyBorder="1" applyAlignment="1">
      <x:alignment vertical="top" wrapText="1"/>
    </x:xf>
    <x:xf numFmtId="201" fontId="0" fillId="4" borderId="3" xfId="0" applyNumberFormat="1" applyFont="1" applyFill="1" applyBorder="1" applyAlignment="1">
      <x:alignment vertical="top" wrapText="1"/>
    </x:xf>
    <x:xf numFmtId="201" fontId="0" fillId="3" borderId="4" xfId="0" applyNumberFormat="1" applyFont="1" applyFill="1" applyBorder="1" applyAlignment="1">
      <x:alignment vertical="top" wrapText="1"/>
    </x:xf>
    <x:xf numFmtId="201" fontId="0" fillId="3" borderId="5" xfId="0" applyNumberFormat="1" applyFont="1" applyFill="1" applyBorder="1" applyAlignment="1">
      <x:alignment vertical="top" wrapText="1"/>
    </x:xf>
    <x:xf numFmtId="201" fontId="0" fillId="4" borderId="5" xfId="0" applyNumberFormat="1" applyFont="1" applyFill="1" applyBorder="1" applyAlignment="1">
      <x:alignment vertical="top" wrapText="1"/>
    </x:xf>
    <x:xf numFmtId="202" fontId="0" fillId="3" borderId="2" xfId="0" applyNumberFormat="1" applyFont="1" applyFill="1" applyBorder="1" applyAlignment="1">
      <x:alignment vertical="top" wrapText="1"/>
    </x:xf>
    <x:xf numFmtId="202" fontId="0" fillId="3" borderId="3" xfId="0" applyNumberFormat="1" applyFont="1" applyFill="1" applyBorder="1" applyAlignment="1">
      <x:alignment vertical="top" wrapText="1"/>
    </x:xf>
    <x:xf numFmtId="202" fontId="0" fillId="4" borderId="3" xfId="0" applyNumberFormat="1" applyFont="1" applyFill="1" applyBorder="1" applyAlignment="1">
      <x:alignment vertical="top" wrapText="1"/>
    </x:xf>
    <x:xf numFmtId="202" fontId="0" fillId="3" borderId="4" xfId="0" applyNumberFormat="1" applyFont="1" applyFill="1" applyBorder="1" applyAlignment="1">
      <x:alignment vertical="top" wrapText="1"/>
    </x:xf>
    <x:xf numFmtId="202" fontId="0" fillId="3" borderId="5" xfId="0" applyNumberFormat="1" applyFont="1" applyFill="1" applyBorder="1" applyAlignment="1">
      <x:alignment vertical="top" wrapText="1"/>
    </x:xf>
    <x:xf numFmtId="202" fontId="0" fillId="4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6" xfId="0" applyNumberFormat="1" applyFont="1" applyFill="1" applyBorder="1"/>
    <x:xf numFmtId="0" fontId="5" fillId="7" borderId="3" xfId="0" applyNumberFormat="1" applyFont="1" applyFill="1" applyBorder="1"/>
    <x:xf numFmtId="0" fontId="5" fillId="7" borderId="7" xfId="0" applyNumberFormat="1" applyFont="1" applyFill="1" applyBorder="1"/>
    <x:xf numFmtId="0" fontId="5" fillId="7" borderId="8" xfId="0" applyNumberFormat="1" applyFont="1" applyFill="1" applyBorder="1"/>
    <x:xf numFmtId="0" fontId="5" fillId="7" borderId="5" xfId="0" applyNumberFormat="1" applyFont="1" applyFill="1" applyBorder="1"/>
    <x:xf numFmtId="0" fontId="5" fillId="7" borderId="9" xfId="0" applyNumberFormat="1" applyFont="1" applyFill="1" applyBorder="1"/>
    <x:xf numFmtId="0" fontId="5" fillId="7" borderId="6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8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5" fillId="7" borderId="7" xfId="0" applyNumberFormat="1" applyFont="1" applyFill="1" applyBorder="1" applyAlignment="1">
      <x:alignment vertical="center" wrapText="1"/>
    </x:xf>
    <x:xf numFmtId="0" fontId="5" fillId="7" borderId="8" xfId="0" applyNumberFormat="1" applyFont="1" applyFill="1" applyBorder="1" applyAlignment="1">
      <x:alignment vertical="center" wrapText="1"/>
    </x:xf>
    <x:xf numFmtId="0" fontId="5" fillId="7" borderId="5" xfId="0" applyNumberFormat="1" applyFont="1" applyFill="1" applyBorder="1" applyAlignment="1">
      <x:alignment vertical="center" wrapText="1"/>
    </x:xf>
    <x:xf numFmtId="0" fontId="5" fillId="7" borderId="9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203" fontId="0" fillId="4" borderId="2" xfId="0" applyNumberFormat="1" applyFont="1" applyFill="1" applyBorder="1" applyAlignment="1">
      <x:alignment vertical="top" wrapText="1"/>
    </x:xf>
    <x:xf numFmtId="203" fontId="0" fillId="4" borderId="4" xfId="0" applyNumberFormat="1" applyFont="1" applyFill="1" applyBorder="1" applyAlignment="1">
      <x:alignment vertical="top" wrapText="1"/>
    </x:xf>
    <x:xf numFmtId="203" fontId="0" fillId="4" borderId="3" xfId="0" applyNumberFormat="1" applyFont="1" applyFill="1" applyBorder="1" applyAlignment="1">
      <x:alignment vertical="top" wrapText="1"/>
    </x:xf>
    <x:xf numFmtId="203" fontId="0" fillId="4" borderId="5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8" fillId="3" borderId="2" xfId="0" applyNumberFormat="1" applyFont="1" applyFill="1" applyBorder="1" applyAlignment="1">
      <x:alignment vertical="top" wrapText="1"/>
    </x:xf>
    <x:xf numFmtId="200" fontId="8" fillId="3" borderId="2" xfId="0" applyNumberFormat="1" applyFont="1" applyFill="1" applyBorder="1" applyAlignment="1">
      <x:alignment vertical="top" wrapText="1"/>
    </x:xf>
    <x:xf numFmtId="201" fontId="8" fillId="3" borderId="2" xfId="0" applyNumberFormat="1" applyFont="1" applyFill="1" applyBorder="1" applyAlignment="1">
      <x:alignment vertical="top" wrapText="1"/>
    </x:xf>
    <x:xf numFmtId="202" fontId="8" fillId="3" borderId="2" xfId="0" applyNumberFormat="1" applyFont="1" applyFill="1" applyBorder="1" applyAlignment="1">
      <x:alignment vertical="top" wrapText="1"/>
    </x:xf>
    <x:xf numFmtId="0" fontId="8" fillId="3" borderId="3" xfId="0" applyNumberFormat="1" applyFont="1" applyFill="1" applyBorder="1" applyAlignment="1">
      <x:alignment vertical="top" wrapText="1"/>
    </x:xf>
    <x:xf numFmtId="200" fontId="8" fillId="3" borderId="3" xfId="0" applyNumberFormat="1" applyFont="1" applyFill="1" applyBorder="1" applyAlignment="1">
      <x:alignment vertical="top" wrapText="1"/>
    </x:xf>
    <x:xf numFmtId="201" fontId="8" fillId="3" borderId="3" xfId="0" applyNumberFormat="1" applyFont="1" applyFill="1" applyBorder="1" applyAlignment="1">
      <x:alignment vertical="top" wrapText="1"/>
    </x:xf>
    <x:xf numFmtId="202" fontId="8" fillId="3" borderId="3" xfId="0" applyNumberFormat="1" applyFont="1" applyFill="1" applyBorder="1" applyAlignment="1">
      <x:alignment vertical="top" wrapText="1"/>
    </x:xf>
    <x:xf numFmtId="0" fontId="8" fillId="4" borderId="3" xfId="0" applyNumberFormat="1" applyFont="1" applyFill="1" applyBorder="1" applyAlignment="1">
      <x:alignment vertical="top" wrapText="1"/>
    </x:xf>
    <x:xf numFmtId="200" fontId="8" fillId="4" borderId="3" xfId="0" applyNumberFormat="1" applyFont="1" applyFill="1" applyBorder="1" applyAlignment="1">
      <x:alignment vertical="top" wrapText="1"/>
    </x:xf>
    <x:xf numFmtId="201" fontId="8" fillId="4" borderId="3" xfId="0" applyNumberFormat="1" applyFont="1" applyFill="1" applyBorder="1" applyAlignment="1">
      <x:alignment vertical="top" wrapText="1"/>
    </x:xf>
    <x:xf numFmtId="202" fontId="8" fillId="4" borderId="3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vertical="center" wrapText="1"/>
    </x:xf>
    <x:xf numFmtId="0" fontId="8" fillId="3" borderId="4" xfId="0" applyNumberFormat="1" applyFont="1" applyFill="1" applyBorder="1" applyAlignment="1">
      <x:alignment vertical="top" wrapText="1"/>
    </x:xf>
    <x:xf numFmtId="200" fontId="8" fillId="3" borderId="4" xfId="0" applyNumberFormat="1" applyFont="1" applyFill="1" applyBorder="1" applyAlignment="1">
      <x:alignment vertical="top" wrapText="1"/>
    </x:xf>
    <x:xf numFmtId="201" fontId="8" fillId="3" borderId="4" xfId="0" applyNumberFormat="1" applyFont="1" applyFill="1" applyBorder="1" applyAlignment="1">
      <x:alignment vertical="top" wrapText="1"/>
    </x:xf>
    <x:xf numFmtId="202" fontId="8" fillId="3" borderId="4" xfId="0" applyNumberFormat="1" applyFont="1" applyFill="1" applyBorder="1" applyAlignment="1">
      <x:alignment vertical="top" wrapText="1"/>
    </x:xf>
    <x:xf numFmtId="0" fontId="8" fillId="3" borderId="5" xfId="0" applyNumberFormat="1" applyFont="1" applyFill="1" applyBorder="1" applyAlignment="1">
      <x:alignment vertical="top" wrapText="1"/>
    </x:xf>
    <x:xf numFmtId="200" fontId="8" fillId="3" borderId="5" xfId="0" applyNumberFormat="1" applyFont="1" applyFill="1" applyBorder="1" applyAlignment="1">
      <x:alignment vertical="top" wrapText="1"/>
    </x:xf>
    <x:xf numFmtId="201" fontId="8" fillId="3" borderId="5" xfId="0" applyNumberFormat="1" applyFont="1" applyFill="1" applyBorder="1" applyAlignment="1">
      <x:alignment vertical="top" wrapText="1"/>
    </x:xf>
    <x:xf numFmtId="202" fontId="8" fillId="3" borderId="5" xfId="0" applyNumberFormat="1" applyFont="1" applyFill="1" applyBorder="1" applyAlignment="1">
      <x:alignment vertical="top" wrapText="1"/>
    </x:xf>
    <x:xf numFmtId="0" fontId="8" fillId="4" borderId="5" xfId="0" applyNumberFormat="1" applyFont="1" applyFill="1" applyBorder="1" applyAlignment="1">
      <x:alignment vertical="top" wrapText="1"/>
    </x:xf>
    <x:xf numFmtId="200" fontId="8" fillId="4" borderId="5" xfId="0" applyNumberFormat="1" applyFont="1" applyFill="1" applyBorder="1" applyAlignment="1">
      <x:alignment vertical="top" wrapText="1"/>
    </x:xf>
    <x:xf numFmtId="201" fontId="8" fillId="4" borderId="5" xfId="0" applyNumberFormat="1" applyFont="1" applyFill="1" applyBorder="1" applyAlignment="1">
      <x:alignment vertical="top" wrapText="1"/>
    </x:xf>
    <x:xf numFmtId="202" fontId="8" fillId="4" borderId="5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/>
    <x:xf numFmtId="0" fontId="9" fillId="5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wrapText="1"/>
    </x:xf>
    <x:xf numFmtId="0" fontId="11" fillId="7" borderId="6" xfId="0" applyNumberFormat="1" applyFont="1" applyFill="1" applyBorder="1" applyAlignment="1">
      <x:alignment vertical="center" wrapText="1"/>
    </x:xf>
    <x:xf numFmtId="0" fontId="11" fillId="7" borderId="3" xfId="0" applyNumberFormat="1" applyFont="1" applyFill="1" applyBorder="1" applyAlignment="1">
      <x:alignment vertical="center" wrapText="1"/>
    </x:xf>
    <x:xf numFmtId="0" fontId="11" fillId="7" borderId="7" xfId="0" applyNumberFormat="1" applyFont="1" applyFill="1" applyBorder="1" applyAlignment="1">
      <x:alignment vertical="center" wrapText="1"/>
    </x:xf>
    <x:xf numFmtId="0" fontId="8" fillId="4" borderId="2" xfId="0" applyNumberFormat="1" applyFont="1" applyFill="1" applyBorder="1" applyAlignment="1">
      <x:alignment vertical="top" wrapText="1"/>
    </x:xf>
    <x:xf numFmtId="203" fontId="8" fillId="4" borderId="2" xfId="0" applyNumberFormat="1" applyFont="1" applyFill="1" applyBorder="1" applyAlignment="1">
      <x:alignment vertical="top" wrapText="1"/>
    </x:xf>
    <x:xf numFmtId="203" fontId="8" fillId="4" borderId="3" xfId="0" applyNumberFormat="1" applyFont="1" applyFill="1" applyBorder="1" applyAlignment="1">
      <x:alignment vertical="top" wrapText="1"/>
    </x:xf>
    <x:xf numFmtId="0" fontId="11" fillId="7" borderId="0" xfId="0" applyNumberFormat="1" applyFont="1" applyFill="1" applyBorder="1"/>
    <x:xf numFmtId="0" fontId="12" fillId="5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vertical="center"/>
    </x:xf>
    <x:xf numFmtId="0" fontId="10" fillId="6" borderId="1" xfId="0" applyNumberFormat="1" applyFont="1" applyFill="1" applyBorder="1" applyAlignment="1">
      <x:alignment wrapText="1"/>
    </x:xf>
    <x:xf numFmtId="0" fontId="11" fillId="7" borderId="8" xfId="0" applyNumberFormat="1" applyFont="1" applyFill="1" applyBorder="1" applyAlignment="1">
      <x:alignment vertical="center" wrapText="1"/>
    </x:xf>
    <x:xf numFmtId="0" fontId="11" fillId="7" borderId="5" xfId="0" applyNumberFormat="1" applyFont="1" applyFill="1" applyBorder="1" applyAlignment="1">
      <x:alignment vertical="center" wrapText="1"/>
    </x:xf>
    <x:xf numFmtId="0" fontId="11" fillId="7" borderId="9" xfId="0" applyNumberFormat="1" applyFont="1" applyFill="1" applyBorder="1" applyAlignment="1">
      <x:alignment vertical="center" wrapText="1"/>
    </x:xf>
    <x:xf numFmtId="0" fontId="8" fillId="4" borderId="4" xfId="0" applyNumberFormat="1" applyFont="1" applyFill="1" applyBorder="1" applyAlignment="1">
      <x:alignment vertical="top" wrapText="1"/>
    </x:xf>
    <x:xf numFmtId="203" fontId="8" fillId="4" borderId="4" xfId="0" applyNumberFormat="1" applyFont="1" applyFill="1" applyBorder="1" applyAlignment="1">
      <x:alignment vertical="top" wrapText="1"/>
    </x:xf>
    <x:xf numFmtId="203" fontId="8" fillId="4" borderId="5" xfId="0" applyNumberFormat="1" applyFont="1" applyFill="1" applyBorder="1" applyAlignment="1">
      <x:alignment vertical="top" wrapText="1"/>
    </x:xf>
    <x:xf numFmtId="0" fontId="11" fillId="7" borderId="1" xfId="0" applyNumberFormat="1" applyFont="1" applyFill="1" applyBorder="1"/>
    <x:xf numFmtId="0" fontId="12" fillId="5" borderId="1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922caa6e784ab7" /><Relationship Type="http://schemas.openxmlformats.org/officeDocument/2006/relationships/theme" Target="/xl/theme/theme1.xml" Id="R06c602d8bcfb49d7" /><Relationship Type="http://schemas.openxmlformats.org/officeDocument/2006/relationships/sharedStrings" Target="/xl/sharedStrings.xml" Id="R201473fd37054fe4" /><Relationship Type="http://schemas.openxmlformats.org/officeDocument/2006/relationships/worksheet" Target="/xl/worksheets/sheet1.xml" Id="R6fee337afbc34e60" /><Relationship Type="http://schemas.openxmlformats.org/officeDocument/2006/relationships/worksheet" Target="/xl/worksheets/sheet2.xml" Id="Rd6bfe769f8214081" /><Relationship Type="http://schemas.openxmlformats.org/officeDocument/2006/relationships/worksheet" Target="/xl/worksheets/sheet3.xml" Id="R9041cbf58bcd44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0" hidden="0" customWidth="1"/>
    <x:col min="5" max="5" width="16" hidden="0" customWidth="1"/>
    <x:col min="6" max="6" width="16" hidden="0" customWidth="1"/>
    <x:col min="7" max="7" width="22" hidden="0" customWidth="1"/>
    <x:col min="8" max="8" width="12" hidden="0" customWidth="1"/>
    <x:col min="9" max="9" width="16" hidden="0" customWidth="1"/>
    <x:col min="10" max="10" width="17" hidden="0" customWidth="1"/>
    <x:col min="11" max="11" width="17" hidden="0" customWidth="1"/>
    <x:col min="12" max="12" width="18" hidden="0" customWidth="1"/>
    <x:col min="13" max="13" width="14" hidden="0" customWidth="1"/>
    <x:col min="14" max="14" width="16" hidden="0" customWidth="1"/>
  </x:cols>
  <x:sheetData>
    <x:row r="1" ht="34" customHeight="1">
      <x:c r="A1" s="94" t="str">
        <x:v>case_id</x:v>
      </x:c>
      <x:c r="B1" s="94" t="str">
        <x:v>arm</x:v>
      </x:c>
      <x:c r="C1" s="94" t="str">
        <x:v>region</x:v>
      </x:c>
      <x:c r="D1" s="94" t="str">
        <x:v>prime</x:v>
      </x:c>
      <x:c r="E1" s="94" t="str">
        <x:v>order_value_inr</x:v>
      </x:c>
      <x:c r="F1" s="94" t="str">
        <x:v>event_conflict</x:v>
      </x:c>
      <x:c r="G1" s="94" t="str">
        <x:v>recovery_option</x:v>
      </x:c>
      <x:c r="H1" s="94" t="str">
        <x:v>eligible</x:v>
      </x:c>
      <x:c r="I1" s="94" t="str">
        <x:v>repeat_contacts</x:v>
      </x:c>
      <x:c r="J1" s="94" t="str">
        <x:v>resolution_hours</x:v>
      </x:c>
      <x:c r="K1" s="94" t="str">
        <x:v>understood_next</x:v>
      </x:c>
      <x:c r="L1" s="94" t="str">
        <x:v>incorrect_recovery</x:v>
      </x:c>
      <x:c r="M1" s="94" t="str">
        <x:v>sla_breach</x:v>
      </x:c>
      <x:c r="N1" s="94" t="str">
        <x:v>support_contacts</x:v>
      </x:c>
    </x:row>
    <x:row r="2">
      <x:c r="A2" s="95" t="str">
        <x:v>SYN-001</x:v>
      </x:c>
      <x:c r="B2" s="95" t="str">
        <x:v>Baseline</x:v>
      </x:c>
      <x:c r="C2" s="95" t="str">
        <x:v>North</x:v>
      </x:c>
      <x:c r="D2" s="95" t="str">
        <x:v>Yes</x:v>
      </x:c>
      <x:c r="E2" s="96" t="str">
        <x:v>2499</x:v>
      </x:c>
      <x:c r="F2" s="95" t="str">
        <x:v>No</x:v>
      </x:c>
      <x:c r="G2" s="95" t="str">
        <x:v>REFUND</x:v>
      </x:c>
      <x:c r="H2" s="95" t="str">
        <x:v>Yes</x:v>
      </x:c>
      <x:c r="I2" s="97" t="str">
        <x:v>3</x:v>
      </x:c>
      <x:c r="J2" s="97" t="str">
        <x:v>52</x:v>
      </x:c>
      <x:c r="K2" s="98" t="str">
        <x:v>0</x:v>
      </x:c>
      <x:c r="L2" s="98" t="str">
        <x:v>0</x:v>
      </x:c>
      <x:c r="M2" s="98" t="str">
        <x:v>1</x:v>
      </x:c>
      <x:c r="N2" s="97" t="str">
        <x:v>3</x:v>
      </x:c>
    </x:row>
    <x:row r="3">
      <x:c r="A3" s="99" t="str">
        <x:v>SYN-002</x:v>
      </x:c>
      <x:c r="B3" s="99" t="str">
        <x:v>Baseline</x:v>
      </x:c>
      <x:c r="C3" s="99" t="str">
        <x:v>North</x:v>
      </x:c>
      <x:c r="D3" s="99" t="str">
        <x:v>No</x:v>
      </x:c>
      <x:c r="E3" s="100" t="str">
        <x:v>899</x:v>
      </x:c>
      <x:c r="F3" s="99" t="str">
        <x:v>No</x:v>
      </x:c>
      <x:c r="G3" s="99" t="str">
        <x:v>REPLACEMENT</x:v>
      </x:c>
      <x:c r="H3" s="99" t="str">
        <x:v>Yes</x:v>
      </x:c>
      <x:c r="I3" s="101" t="str">
        <x:v>2</x:v>
      </x:c>
      <x:c r="J3" s="101" t="str">
        <x:v>41</x:v>
      </x:c>
      <x:c r="K3" s="102" t="str">
        <x:v>0</x:v>
      </x:c>
      <x:c r="L3" s="102" t="str">
        <x:v>0</x:v>
      </x:c>
      <x:c r="M3" s="102" t="str">
        <x:v>1</x:v>
      </x:c>
      <x:c r="N3" s="101" t="str">
        <x:v>2</x:v>
      </x:c>
    </x:row>
    <x:row r="4">
      <x:c r="A4" s="99" t="str">
        <x:v>SYN-003</x:v>
      </x:c>
      <x:c r="B4" s="99" t="str">
        <x:v>Baseline</x:v>
      </x:c>
      <x:c r="C4" s="99" t="str">
        <x:v>West</x:v>
      </x:c>
      <x:c r="D4" s="99" t="str">
        <x:v>Yes</x:v>
      </x:c>
      <x:c r="E4" s="100" t="str">
        <x:v>4999</x:v>
      </x:c>
      <x:c r="F4" s="99" t="str">
        <x:v>Yes</x:v>
      </x:c>
      <x:c r="G4" s="99" t="str">
        <x:v>REFUND</x:v>
      </x:c>
      <x:c r="H4" s="99" t="str">
        <x:v>Yes</x:v>
      </x:c>
      <x:c r="I4" s="101" t="str">
        <x:v>4</x:v>
      </x:c>
      <x:c r="J4" s="101" t="str">
        <x:v>72</x:v>
      </x:c>
      <x:c r="K4" s="102" t="str">
        <x:v>0</x:v>
      </x:c>
      <x:c r="L4" s="102" t="str">
        <x:v>0</x:v>
      </x:c>
      <x:c r="M4" s="102" t="str">
        <x:v>1</x:v>
      </x:c>
      <x:c r="N4" s="101" t="str">
        <x:v>4</x:v>
      </x:c>
    </x:row>
    <x:row r="5">
      <x:c r="A5" s="99" t="str">
        <x:v>SYN-004</x:v>
      </x:c>
      <x:c r="B5" s="99" t="str">
        <x:v>Baseline</x:v>
      </x:c>
      <x:c r="C5" s="99" t="str">
        <x:v>South</x:v>
      </x:c>
      <x:c r="D5" s="99" t="str">
        <x:v>No</x:v>
      </x:c>
      <x:c r="E5" s="100" t="str">
        <x:v>1799</x:v>
      </x:c>
      <x:c r="F5" s="99" t="str">
        <x:v>No</x:v>
      </x:c>
      <x:c r="G5" s="99" t="str">
        <x:v>DELIVERY_RETRY</x:v>
      </x:c>
      <x:c r="H5" s="99" t="str">
        <x:v>Yes</x:v>
      </x:c>
      <x:c r="I5" s="101" t="str">
        <x:v>2</x:v>
      </x:c>
      <x:c r="J5" s="101" t="str">
        <x:v>30</x:v>
      </x:c>
      <x:c r="K5" s="102" t="str">
        <x:v>0</x:v>
      </x:c>
      <x:c r="L5" s="102" t="str">
        <x:v>0</x:v>
      </x:c>
      <x:c r="M5" s="102" t="str">
        <x:v>0</x:v>
      </x:c>
      <x:c r="N5" s="101" t="str">
        <x:v>2</x:v>
      </x:c>
    </x:row>
    <x:row r="6">
      <x:c r="A6" s="99" t="str">
        <x:v>SYN-005</x:v>
      </x:c>
      <x:c r="B6" s="99" t="str">
        <x:v>Baseline</x:v>
      </x:c>
      <x:c r="C6" s="99" t="str">
        <x:v>East</x:v>
      </x:c>
      <x:c r="D6" s="99" t="str">
        <x:v>Yes</x:v>
      </x:c>
      <x:c r="E6" s="100" t="str">
        <x:v>3299</x:v>
      </x:c>
      <x:c r="F6" s="99" t="str">
        <x:v>Yes</x:v>
      </x:c>
      <x:c r="G6" s="99" t="str">
        <x:v>REFUND</x:v>
      </x:c>
      <x:c r="H6" s="99" t="str">
        <x:v>Yes</x:v>
      </x:c>
      <x:c r="I6" s="101" t="str">
        <x:v>3</x:v>
      </x:c>
      <x:c r="J6" s="101" t="str">
        <x:v>64</x:v>
      </x:c>
      <x:c r="K6" s="102" t="str">
        <x:v>0</x:v>
      </x:c>
      <x:c r="L6" s="102" t="str">
        <x:v>0</x:v>
      </x:c>
      <x:c r="M6" s="102" t="str">
        <x:v>1</x:v>
      </x:c>
      <x:c r="N6" s="101" t="str">
        <x:v>3</x:v>
      </x:c>
    </x:row>
    <x:row r="7">
      <x:c r="A7" s="99" t="str">
        <x:v>SYN-006</x:v>
      </x:c>
      <x:c r="B7" s="99" t="str">
        <x:v>Baseline</x:v>
      </x:c>
      <x:c r="C7" s="99" t="str">
        <x:v>North</x:v>
      </x:c>
      <x:c r="D7" s="99" t="str">
        <x:v>Yes</x:v>
      </x:c>
      <x:c r="E7" s="100" t="str">
        <x:v>1299</x:v>
      </x:c>
      <x:c r="F7" s="99" t="str">
        <x:v>No</x:v>
      </x:c>
      <x:c r="G7" s="99" t="str">
        <x:v>REFUND</x:v>
      </x:c>
      <x:c r="H7" s="99" t="str">
        <x:v>Yes</x:v>
      </x:c>
      <x:c r="I7" s="101" t="str">
        <x:v>1</x:v>
      </x:c>
      <x:c r="J7" s="101" t="str">
        <x:v>28</x:v>
      </x:c>
      <x:c r="K7" s="102" t="str">
        <x:v>0</x:v>
      </x:c>
      <x:c r="L7" s="102" t="str">
        <x:v>0</x:v>
      </x:c>
      <x:c r="M7" s="102" t="str">
        <x:v>0</x:v>
      </x:c>
      <x:c r="N7" s="101" t="str">
        <x:v>1</x:v>
      </x:c>
    </x:row>
    <x:row r="8">
      <x:c r="A8" s="103" t="str">
        <x:v>SYN-007</x:v>
      </x:c>
      <x:c r="B8" s="103" t="str">
        <x:v>Proposed</x:v>
      </x:c>
      <x:c r="C8" s="103" t="str">
        <x:v>North</x:v>
      </x:c>
      <x:c r="D8" s="103" t="str">
        <x:v>Yes</x:v>
      </x:c>
      <x:c r="E8" s="104" t="str">
        <x:v>2499</x:v>
      </x:c>
      <x:c r="F8" s="103" t="str">
        <x:v>No</x:v>
      </x:c>
      <x:c r="G8" s="103" t="str">
        <x:v>REFUND</x:v>
      </x:c>
      <x:c r="H8" s="103" t="str">
        <x:v>Yes</x:v>
      </x:c>
      <x:c r="I8" s="105" t="str">
        <x:v>1</x:v>
      </x:c>
      <x:c r="J8" s="105" t="str">
        <x:v>26</x:v>
      </x:c>
      <x:c r="K8" s="106" t="str">
        <x:v>1</x:v>
      </x:c>
      <x:c r="L8" s="106" t="str">
        <x:v>0</x:v>
      </x:c>
      <x:c r="M8" s="106" t="str">
        <x:v>0</x:v>
      </x:c>
      <x:c r="N8" s="105" t="str">
        <x:v>1</x:v>
      </x:c>
    </x:row>
    <x:row r="9">
      <x:c r="A9" s="103" t="str">
        <x:v>SYN-008</x:v>
      </x:c>
      <x:c r="B9" s="103" t="str">
        <x:v>Proposed</x:v>
      </x:c>
      <x:c r="C9" s="103" t="str">
        <x:v>North</x:v>
      </x:c>
      <x:c r="D9" s="103" t="str">
        <x:v>No</x:v>
      </x:c>
      <x:c r="E9" s="104" t="str">
        <x:v>899</x:v>
      </x:c>
      <x:c r="F9" s="103" t="str">
        <x:v>No</x:v>
      </x:c>
      <x:c r="G9" s="103" t="str">
        <x:v>REPLACEMENT</x:v>
      </x:c>
      <x:c r="H9" s="103" t="str">
        <x:v>Yes</x:v>
      </x:c>
      <x:c r="I9" s="105" t="str">
        <x:v>1</x:v>
      </x:c>
      <x:c r="J9" s="105" t="str">
        <x:v>20</x:v>
      </x:c>
      <x:c r="K9" s="106" t="str">
        <x:v>1</x:v>
      </x:c>
      <x:c r="L9" s="106" t="str">
        <x:v>0</x:v>
      </x:c>
      <x:c r="M9" s="106" t="str">
        <x:v>0</x:v>
      </x:c>
      <x:c r="N9" s="105" t="str">
        <x:v>1</x:v>
      </x:c>
    </x:row>
    <x:row r="10">
      <x:c r="A10" s="103" t="str">
        <x:v>SYN-009</x:v>
      </x:c>
      <x:c r="B10" s="103" t="str">
        <x:v>Proposed</x:v>
      </x:c>
      <x:c r="C10" s="103" t="str">
        <x:v>West</x:v>
      </x:c>
      <x:c r="D10" s="103" t="str">
        <x:v>Yes</x:v>
      </x:c>
      <x:c r="E10" s="104" t="str">
        <x:v>4999</x:v>
      </x:c>
      <x:c r="F10" s="103" t="str">
        <x:v>Yes</x:v>
      </x:c>
      <x:c r="G10" s="103" t="str">
        <x:v>SUPPORT_ESCALATION</x:v>
      </x:c>
      <x:c r="H10" s="103" t="str">
        <x:v>Yes</x:v>
      </x:c>
      <x:c r="I10" s="105" t="str">
        <x:v>2</x:v>
      </x:c>
      <x:c r="J10" s="105" t="str">
        <x:v>49</x:v>
      </x:c>
      <x:c r="K10" s="106" t="str">
        <x:v>1</x:v>
      </x:c>
      <x:c r="L10" s="106" t="str">
        <x:v>0</x:v>
      </x:c>
      <x:c r="M10" s="106" t="str">
        <x:v>1</x:v>
      </x:c>
      <x:c r="N10" s="105" t="str">
        <x:v>2</x:v>
      </x:c>
    </x:row>
    <x:row r="11">
      <x:c r="A11" s="103" t="str">
        <x:v>SYN-010</x:v>
      </x:c>
      <x:c r="B11" s="103" t="str">
        <x:v>Proposed</x:v>
      </x:c>
      <x:c r="C11" s="103" t="str">
        <x:v>South</x:v>
      </x:c>
      <x:c r="D11" s="103" t="str">
        <x:v>No</x:v>
      </x:c>
      <x:c r="E11" s="104" t="str">
        <x:v>1799</x:v>
      </x:c>
      <x:c r="F11" s="103" t="str">
        <x:v>No</x:v>
      </x:c>
      <x:c r="G11" s="103" t="str">
        <x:v>DELIVERY_RETRY</x:v>
      </x:c>
      <x:c r="H11" s="103" t="str">
        <x:v>Yes</x:v>
      </x:c>
      <x:c r="I11" s="105" t="str">
        <x:v>0</x:v>
      </x:c>
      <x:c r="J11" s="105" t="str">
        <x:v>16</x:v>
      </x:c>
      <x:c r="K11" s="106" t="str">
        <x:v>1</x:v>
      </x:c>
      <x:c r="L11" s="106" t="str">
        <x:v>0</x:v>
      </x:c>
      <x:c r="M11" s="106" t="str">
        <x:v>0</x:v>
      </x:c>
      <x:c r="N11" s="105" t="str">
        <x:v>0</x:v>
      </x:c>
    </x:row>
    <x:row r="12">
      <x:c r="A12" s="103" t="str">
        <x:v>SYN-011</x:v>
      </x:c>
      <x:c r="B12" s="103" t="str">
        <x:v>Proposed</x:v>
      </x:c>
      <x:c r="C12" s="103" t="str">
        <x:v>East</x:v>
      </x:c>
      <x:c r="D12" s="103" t="str">
        <x:v>Yes</x:v>
      </x:c>
      <x:c r="E12" s="104" t="str">
        <x:v>3299</x:v>
      </x:c>
      <x:c r="F12" s="103" t="str">
        <x:v>No</x:v>
      </x:c>
      <x:c r="G12" s="103" t="str">
        <x:v>REFUND</x:v>
      </x:c>
      <x:c r="H12" s="103" t="str">
        <x:v>Yes</x:v>
      </x:c>
      <x:c r="I12" s="105" t="str">
        <x:v>1</x:v>
      </x:c>
      <x:c r="J12" s="105" t="str">
        <x:v>31</x:v>
      </x:c>
      <x:c r="K12" s="106" t="str">
        <x:v>1</x:v>
      </x:c>
      <x:c r="L12" s="106" t="str">
        <x:v>0</x:v>
      </x:c>
      <x:c r="M12" s="106" t="str">
        <x:v>0</x:v>
      </x:c>
      <x:c r="N12" s="105" t="str">
        <x:v>1</x:v>
      </x:c>
    </x:row>
    <x:row r="13">
      <x:c r="A13" s="103" t="str">
        <x:v>SYN-012</x:v>
      </x:c>
      <x:c r="B13" s="103" t="str">
        <x:v>Proposed</x:v>
      </x:c>
      <x:c r="C13" s="103" t="str">
        <x:v>North</x:v>
      </x:c>
      <x:c r="D13" s="103" t="str">
        <x:v>Yes</x:v>
      </x:c>
      <x:c r="E13" s="104" t="str">
        <x:v>1299</x:v>
      </x:c>
      <x:c r="F13" s="103" t="str">
        <x:v>No</x:v>
      </x:c>
      <x:c r="G13" s="103" t="str">
        <x:v>REFUND</x:v>
      </x:c>
      <x:c r="H13" s="103" t="str">
        <x:v>Yes</x:v>
      </x:c>
      <x:c r="I13" s="105" t="str">
        <x:v>0</x:v>
      </x:c>
      <x:c r="J13" s="105" t="str">
        <x:v>18</x:v>
      </x:c>
      <x:c r="K13" s="106" t="str">
        <x:v>1</x:v>
      </x:c>
      <x:c r="L13" s="106" t="str">
        <x:v>0</x:v>
      </x:c>
      <x:c r="M13" s="106" t="str">
        <x:v>0</x:v>
      </x:c>
      <x:c r="N13" s="105" t="str">
        <x:v>0</x:v>
      </x:c>
    </x:row>
    <x:row r="14">
      <x:c r="A14" s="107"/>
      <x:c r="B14" s="107"/>
      <x:c r="C14" s="107"/>
      <x:c r="D14" s="107"/>
      <x:c r="E14" s="107"/>
      <x:c r="F14" s="107"/>
      <x:c r="G14" s="107"/>
      <x:c r="H14" s="107"/>
      <x:c r="I14" s="107"/>
      <x:c r="J14" s="107"/>
      <x:c r="K14" s="107"/>
      <x:c r="L14" s="107"/>
      <x:c r="M14" s="107"/>
      <x:c r="N14" s="107"/>
    </x:row>
    <x:row r="15" ht="32" customHeight="1">
      <x:c r="A15" s="108" t="str">
        <x:v>Synthetic worksample data only: confirmed resolution within SLA is derived as 1 − SLA breach for mechanics; not Amazon internal telemetry or live pilot evidence.</x:v>
      </x:c>
      <x:c r="B15" s="108"/>
      <x:c r="C15" s="108"/>
      <x:c r="D15" s="108"/>
      <x:c r="E15" s="108"/>
      <x:c r="F15" s="108"/>
      <x:c r="G15" s="108"/>
      <x:c r="H15" s="108"/>
      <x:c r="I15" s="108"/>
      <x:c r="J15" s="108"/>
      <x:c r="K15" s="108"/>
      <x:c r="L15" s="108"/>
      <x:c r="M15" s="108"/>
      <x:c r="N15" s="108"/>
    </x:row>
  </x:sheetData>
  <x:mergeCells>
    <x:mergeCell ref="A15:N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40" hidden="0" customWidth="1"/>
    <x:col min="8" max="8" width="20" hidden="0" customWidth="1"/>
  </x:cols>
  <x:sheetData>
    <x:row r="1" ht="28" customHeight="1">
      <x:c r="A1" s="124" t="str">
        <x:v>Stage 5 — Pilot Scorecard</x:v>
      </x:c>
      <x:c r="B1" s="107"/>
      <x:c r="C1" s="107"/>
      <x:c r="D1" s="107"/>
      <x:c r="E1" s="107"/>
      <x:c r="F1" s="107"/>
      <x:c r="G1" s="107"/>
      <x:c r="H1" s="107"/>
    </x:row>
    <x:row r="2" ht="30" customHeight="1">
      <x:c r="A2" s="125" t="str">
        <x:v>Synthetic replay | Baseline versus proposed experience | Do not treat as production evidence</x:v>
      </x:c>
      <x:c r="B2" s="107"/>
      <x:c r="C2" s="107"/>
      <x:c r="D2" s="107"/>
      <x:c r="E2" s="107"/>
      <x:c r="F2" s="107"/>
      <x:c r="G2" s="107"/>
      <x:c r="H2" s="107"/>
    </x:row>
    <x:row r="3">
      <x:c r="A3" s="107"/>
      <x:c r="B3" s="107"/>
      <x:c r="C3" s="107"/>
      <x:c r="D3" s="107"/>
      <x:c r="E3" s="107"/>
      <x:c r="F3" s="107"/>
      <x:c r="G3" s="107"/>
      <x:c r="H3" s="107"/>
    </x:row>
    <x:row r="4">
      <x:c r="A4" s="126" t="str">
        <x:v>Metric</x:v>
      </x:c>
      <x:c r="B4" s="127" t="str">
        <x:v>Baseline</x:v>
      </x:c>
      <x:c r="C4" s="127" t="str">
        <x:v>Proposed</x:v>
      </x:c>
      <x:c r="D4" s="127" t="str">
        <x:v>Change</x:v>
      </x:c>
      <x:c r="E4" s="127" t="str">
        <x:v>Target</x:v>
      </x:c>
      <x:c r="F4" s="127" t="str">
        <x:v>Check</x:v>
      </x:c>
      <x:c r="G4" s="127" t="str">
        <x:v>Definition</x:v>
      </x:c>
      <x:c r="H4" s="128" t="str">
        <x:v>Evidence status</x:v>
      </x:c>
    </x:row>
    <x:row r="5" ht="40" customHeight="1">
      <x:c r="A5" s="129" t="str">
        <x:v>Confirmed resolution within promised SLA</x:v>
      </x:c>
      <x:c r="B5" s="130" t="n">
        <x:f>1-SUMIF('Case replay'!$B$2:$B$13,"Baseline",'Case replay'!$M$2:$M$13)/COUNTIF('Case replay'!$B$2:$B$13,"Baseline")</x:f>
        <x:v>0.33333333333333337</x:v>
      </x:c>
      <x:c r="C5" s="130" t="n">
        <x:f>1-SUMIF('Case replay'!$B$2:$B$13,"Proposed",'Case replay'!$M$2:$M$13)/COUNTIF('Case replay'!$B$2:$B$13,"Proposed")</x:f>
        <x:v>0.8333333333333334</x:v>
      </x:c>
      <x:c r="D5" s="130" t="n">
        <x:f>C5-B5</x:f>
        <x:v>0.5</x:v>
      </x:c>
      <x:c r="E5" s="130" t="n">
        <x:v>0.1</x:v>
      </x:c>
      <x:c r="F5" s="129" t="str">
        <x:f>IF(D5&gt;=E5,"Pass","Fail")</x:f>
        <x:v>Pass</x:v>
      </x:c>
      <x:c r="G5" s="129" t="str">
        <x:v>1 − SLA breach rate; synthetic primary mechanics</x:v>
      </x:c>
      <x:c r="H5" s="129" t="str">
        <x:v>Synthetic example; real target required</x:v>
      </x:c>
    </x:row>
    <x:row r="6" ht="40" customHeight="1">
      <x:c r="A6" s="103" t="str">
        <x:v>Repeat contacts per case</x:v>
      </x:c>
      <x:c r="B6" s="105" t="n">
        <x:f>SUMIF('Case replay'!$B$2:$B$13,"Baseline",'Case replay'!$I$2:$I$13)/COUNTIF('Case replay'!$B$2:$B$13,"Baseline")</x:f>
        <x:v>2.5</x:v>
      </x:c>
      <x:c r="C6" s="105" t="n">
        <x:f>SUMIF('Case replay'!$B$2:$B$13,"Proposed",'Case replay'!$I$2:$I$13)/COUNTIF('Case replay'!$B$2:$B$13,"Proposed")</x:f>
        <x:v>0.8333333333333334</x:v>
      </x:c>
      <x:c r="D6" s="131" t="n">
        <x:f>C6/B6-1</x:f>
        <x:v>-0.6666666666666666</x:v>
      </x:c>
      <x:c r="E6" s="131" t="n">
        <x:v>-0.2</x:v>
      </x:c>
      <x:c r="F6" s="103" t="str">
        <x:f>IF(D6&lt;=E6,"Pass","Fail")</x:f>
        <x:v>Pass</x:v>
      </x:c>
      <x:c r="G6" s="103" t="str">
        <x:v>Average contact count per case</x:v>
      </x:c>
      <x:c r="H6" s="103" t="str">
        <x:v>Synthetic secondary example</x:v>
      </x:c>
    </x:row>
    <x:row r="7" ht="40" customHeight="1">
      <x:c r="A7" s="103" t="str">
        <x:v>Confirmed-resolution time (hours)</x:v>
      </x:c>
      <x:c r="B7" s="105" t="n">
        <x:f>SUMIF('Case replay'!$B$2:$B$13,"Baseline",'Case replay'!$J$2:$J$13)/COUNTIF('Case replay'!$B$2:$B$13,"Baseline")</x:f>
        <x:v>47.833333333333336</x:v>
      </x:c>
      <x:c r="C7" s="105" t="n">
        <x:f>SUMIF('Case replay'!$B$2:$B$13,"Proposed",'Case replay'!$J$2:$J$13)/COUNTIF('Case replay'!$B$2:$B$13,"Proposed")</x:f>
        <x:v>26.666666666666668</x:v>
      </x:c>
      <x:c r="D7" s="131" t="n">
        <x:f>C7/B7-1</x:f>
        <x:v>-0.44250871080139376</x:v>
      </x:c>
      <x:c r="E7" s="131" t="n">
        <x:v>-0.2</x:v>
      </x:c>
      <x:c r="F7" s="103" t="str">
        <x:f>IF(D7&lt;=E7,"Pass","Fail")</x:f>
        <x:v>Pass</x:v>
      </x:c>
      <x:c r="G7" s="103" t="str">
        <x:v>Average hours to confirmed outcome</x:v>
      </x:c>
      <x:c r="H7" s="103" t="str">
        <x:v>Synthetic secondary example</x:v>
      </x:c>
    </x:row>
    <x:row r="8" ht="40" customHeight="1">
      <x:c r="A8" s="103" t="str">
        <x:v>Understood next rate</x:v>
      </x:c>
      <x:c r="B8" s="131" t="n">
        <x:f>SUMIF('Case replay'!$B$2:$B$13,"Baseline",'Case replay'!$K$2:$K$13)/COUNTIF('Case replay'!$B$2:$B$13,"Baseline")</x:f>
        <x:v>0</x:v>
      </x:c>
      <x:c r="C8" s="131" t="n">
        <x:f>SUMIF('Case replay'!$B$2:$B$13,"Proposed",'Case replay'!$K$2:$K$13)/COUNTIF('Case replay'!$B$2:$B$13,"Proposed")</x:f>
        <x:v>1</x:v>
      </x:c>
      <x:c r="D8" s="131" t="n">
        <x:f>C8-B8</x:f>
        <x:v>1</x:v>
      </x:c>
      <x:c r="E8" s="131" t="n">
        <x:v>0.75</x:v>
      </x:c>
      <x:c r="F8" s="103" t="str">
        <x:f>IF(D8&gt;=E8,"Pass","Fail")</x:f>
        <x:v>Pass</x:v>
      </x:c>
      <x:c r="G8" s="103" t="str">
        <x:v>Share of cases with understood_next = 1</x:v>
      </x:c>
      <x:c r="H8" s="103" t="str">
        <x:v>Synthetic proxy</x:v>
      </x:c>
    </x:row>
    <x:row r="9" ht="40" customHeight="1">
      <x:c r="A9" s="103" t="str">
        <x:v>Incorrect recovery rate</x:v>
      </x:c>
      <x:c r="B9" s="131" t="n">
        <x:f>SUMIF('Case replay'!$B$2:$B$13,"Baseline",'Case replay'!$L$2:$L$13)/COUNTIF('Case replay'!$B$2:$B$13,"Baseline")</x:f>
        <x:v>0</x:v>
      </x:c>
      <x:c r="C9" s="131" t="n">
        <x:f>SUMIF('Case replay'!$B$2:$B$13,"Proposed",'Case replay'!$L$2:$L$13)/COUNTIF('Case replay'!$B$2:$B$13,"Proposed")</x:f>
        <x:v>0</x:v>
      </x:c>
      <x:c r="D9" s="131" t="n">
        <x:f>C9</x:f>
        <x:v>0</x:v>
      </x:c>
      <x:c r="E9" s="131" t="n">
        <x:v>0</x:v>
      </x:c>
      <x:c r="F9" s="103" t="str">
        <x:f>IF(C9&lt;=E9,"Pass","Fail")</x:f>
        <x:v>Pass</x:v>
      </x:c>
      <x:c r="G9" s="103" t="str">
        <x:v>Share with incorrect_recovery = 1</x:v>
      </x:c>
      <x:c r="H9" s="103" t="str">
        <x:v>Guardrail example</x:v>
      </x:c>
    </x:row>
    <x:row r="10" ht="40" customHeight="1">
      <x:c r="A10" s="103" t="str">
        <x:v>SLA breach rate</x:v>
      </x:c>
      <x:c r="B10" s="131" t="n">
        <x:f>SUMIF('Case replay'!$B$2:$B$13,"Baseline",'Case replay'!$M$2:$M$13)/COUNTIF('Case replay'!$B$2:$B$13,"Baseline")</x:f>
        <x:v>0.6666666666666666</x:v>
      </x:c>
      <x:c r="C10" s="131" t="n">
        <x:f>SUMIF('Case replay'!$B$2:$B$13,"Proposed",'Case replay'!$M$2:$M$13)/COUNTIF('Case replay'!$B$2:$B$13,"Proposed")</x:f>
        <x:v>0.16666666666666666</x:v>
      </x:c>
      <x:c r="D10" s="131" t="n">
        <x:f>C10</x:f>
        <x:v>0.16666666666666666</x:v>
      </x:c>
      <x:c r="E10" s="131" t="n">
        <x:v>0.2</x:v>
      </x:c>
      <x:c r="F10" s="103" t="str">
        <x:f>IF(C10&lt;=E10,"Pass","Fail")</x:f>
        <x:v>Pass</x:v>
      </x:c>
      <x:c r="G10" s="103" t="str">
        <x:v>Share with sla_breach = 1</x:v>
      </x:c>
      <x:c r="H10" s="103" t="str">
        <x:v>Guardrail example</x:v>
      </x:c>
    </x:row>
    <x:row r="11" ht="40" customHeight="1">
      <x:c r="A11" s="103" t="str">
        <x:v>Support contacts per case</x:v>
      </x:c>
      <x:c r="B11" s="105" t="n">
        <x:f>SUMIF('Case replay'!$B$2:$B$13,"Baseline",'Case replay'!$N$2:$N$13)/COUNTIF('Case replay'!$B$2:$B$13,"Baseline")</x:f>
        <x:v>2.5</x:v>
      </x:c>
      <x:c r="C11" s="105" t="n">
        <x:f>SUMIF('Case replay'!$B$2:$B$13,"Proposed",'Case replay'!$N$2:$N$13)/COUNTIF('Case replay'!$B$2:$B$13,"Proposed")</x:f>
        <x:v>0.8333333333333334</x:v>
      </x:c>
      <x:c r="D11" s="131" t="n">
        <x:f>C11/B11-1</x:f>
        <x:v>-0.6666666666666666</x:v>
      </x:c>
      <x:c r="E11" s="131" t="n">
        <x:v>-0.2</x:v>
      </x:c>
      <x:c r="F11" s="103" t="str">
        <x:f>IF(D11&lt;=E11,"Pass","Fail")</x:f>
        <x:v>Pass</x:v>
      </x:c>
      <x:c r="G11" s="103" t="str">
        <x:v>Average support contact count per case</x:v>
      </x:c>
      <x:c r="H11" s="103" t="str">
        <x:v>Synthetic example</x:v>
      </x:c>
    </x:row>
    <x:row r="12">
      <x:c r="A12" s="132" t="str">
        <x:v>Overall recommendation</x:v>
      </x:c>
      <x:c r="B12" s="132"/>
      <x:c r="C12" s="132"/>
      <x:c r="D12" s="132"/>
      <x:c r="E12" s="132"/>
      <x:c r="F12" s="132"/>
      <x:c r="G12" s="132"/>
      <x:c r="H12" s="132"/>
    </x:row>
    <x:row r="13" ht="30" customHeight="1">
      <x:c r="A13" s="133" t="str">
        <x:f>IF(AND(F5="Pass",F6="Pass",F7="Pass",F8="Pass",F9="Pass",F10="Pass",F11="Pass"),"Advance to controlled pilot preparation","Iterate before pilot")</x:f>
        <x:v>Advance to controlled pilot preparation</x:v>
      </x:c>
      <x:c r="B13" s="133"/>
      <x:c r="C13" s="133"/>
      <x:c r="D13" s="133"/>
      <x:c r="E13" s="133"/>
      <x:c r="F13" s="133"/>
      <x:c r="G13" s="133"/>
      <x:c r="H13" s="133"/>
    </x:row>
  </x:sheetData>
  <x:mergeCells>
    <x:mergeCell ref="A1:H1"/>
    <x:mergeCell ref="A2:H2"/>
    <x:mergeCell ref="A12:H12"/>
    <x:mergeCell ref="A13:H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58" hidden="0" customWidth="1"/>
    <x:col min="4" max="4" width="22" hidden="0" customWidth="1"/>
    <x:col min="5" max="5" width="34" hidden="0" customWidth="1"/>
  </x:cols>
  <x:sheetData>
    <x:row r="1" ht="28" customHeight="1">
      <x:c r="A1" s="124" t="str">
        <x:v>Stage 5 Approval Log</x:v>
      </x:c>
      <x:c r="B1" s="107"/>
      <x:c r="C1" s="107"/>
      <x:c r="D1" s="107"/>
      <x:c r="E1" s="107"/>
    </x:row>
    <x:row r="2" ht="30" customHeight="1">
      <x:c r="A2" s="125" t="str">
        <x:v>Validation, measurement, pilot, and scale decisions</x:v>
      </x:c>
      <x:c r="B2" s="107"/>
      <x:c r="C2" s="107"/>
      <x:c r="D2" s="107"/>
      <x:c r="E2" s="107"/>
    </x:row>
    <x:row r="3">
      <x:c r="A3" s="107"/>
      <x:c r="B3" s="107"/>
      <x:c r="C3" s="107"/>
      <x:c r="D3" s="107"/>
      <x:c r="E3" s="107"/>
    </x:row>
    <x:row r="4" ht="34" customHeight="1">
      <x:c r="A4" s="126" t="str">
        <x:v>Decision ID</x:v>
      </x:c>
      <x:c r="B4" s="127" t="str">
        <x:v>Decision</x:v>
      </x:c>
      <x:c r="C4" s="127" t="str">
        <x:v>Recommendation</x:v>
      </x:c>
      <x:c r="D4" s="127" t="str">
        <x:v>Reviewer decision</x:v>
      </x:c>
      <x:c r="E4" s="128" t="str">
        <x:v>Notes</x:v>
      </x:c>
    </x:row>
    <x:row r="5" ht="44" customHeight="1">
      <x:c r="A5" s="144" t="str">
        <x:v>V01</x:v>
      </x:c>
      <x:c r="B5" s="144" t="str">
        <x:v>Validation protocol</x:v>
      </x:c>
      <x:c r="C5" s="144" t="str">
        <x:v>Approve E1–E4 research and replay plan</x:v>
      </x:c>
      <x:c r="D5" s="144" t="str">
        <x:v>Awaiting approval</x:v>
      </x:c>
      <x:c r="E5" s="144" t="str"/>
    </x:row>
    <x:row r="6" ht="44" customHeight="1">
      <x:c r="A6" s="145" t="str">
        <x:v>V02</x:v>
      </x:c>
      <x:c r="B6" s="145" t="str">
        <x:v>Measurement contract</x:v>
      </x:c>
      <x:c r="C6" s="145" t="str">
        <x:v>Approve confirmed-resolution-within-SLA primary metric, case-linked cohort fields, and guardrails</x:v>
      </x:c>
      <x:c r="D6" s="145" t="str">
        <x:v>Awaiting approval</x:v>
      </x:c>
      <x:c r="E6" s="145" t="str"/>
    </x:row>
    <x:row r="7" ht="44" customHeight="1">
      <x:c r="A7" s="145" t="str">
        <x:v>V03</x:v>
      </x:c>
      <x:c r="B7" s="145" t="str">
        <x:v>Controlled pilot</x:v>
      </x:c>
      <x:c r="C7" s="145" t="str">
        <x:v>Proceed only after real baseline and readiness checks</x:v>
      </x:c>
      <x:c r="D7" s="145" t="str">
        <x:v>Awaiting approval</x:v>
      </x:c>
      <x:c r="E7" s="145" t="str"/>
    </x:row>
    <x:row r="8" ht="44" customHeight="1">
      <x:c r="A8" s="145" t="str">
        <x:v>V04</x:v>
      </x:c>
      <x:c r="B8" s="145" t="str">
        <x:v>Scale gate</x:v>
      </x:c>
      <x:c r="C8" s="145" t="str">
        <x:v>Keep scale blocked until real pilot evidence passes</x:v>
      </x:c>
      <x:c r="D8" s="145" t="str">
        <x:v>Blocked</x:v>
      </x:c>
      <x:c r="E8" s="145" t="str"/>
    </x:row>
  </x:sheetData>
  <x:mergeCells>
    <x:mergeCell ref="A1:E1"/>
    <x:mergeCell ref="A2:E2"/>
  </x:mergeCells>
  <x:dataValidations count="1">
    <x:dataValidation type="list" sqref="D5:D8">
      <x:formula1>"Awaiting approval,Approved,Revise,Blocked"</x:formula1>
    </x:dataValidation>
  </x:dataValidations>
  <x:pageMargins left="0.7" right="0.7" top="0.75" bottom="0.75" header="0.3" footer="0.3"/>
</x:worksheet>
</file>