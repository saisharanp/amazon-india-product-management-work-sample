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10bbef599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checklist" sheetId="1" r:id="Reacfc4b4912e4211"/>
    <x:sheet xmlns:r="http://schemas.openxmlformats.org/officeDocument/2006/relationships" name="Pilot metrics" sheetId="2" r:id="R88e092cbe19a4058"/>
    <x:sheet xmlns:r="http://schemas.openxmlformats.org/officeDocument/2006/relationships" name="Review log" sheetId="3" r:id="Rd10ac53d67c042be"/>
    <x:sheet xmlns:r="http://schemas.openxmlformats.org/officeDocument/2006/relationships" name="Decision gate" sheetId="4" r:id="Re19805c88cf4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1"/>
      <x:color rgb="FF7C5B00"/>
      <x:name val="Carlito"/>
    </x:font>
    <x:font>
      <x:i/>
      <x:sz val="11"/>
      <x:color rgb="FF8B1E1E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b/>
      <x:sz val="10"/>
      <x:color rgb="FF7C5B00"/>
      <x:name val="Arial"/>
    </x:font>
    <x:font>
      <x:i/>
      <x:sz val="10"/>
      <x:color rgb="FF8B1E1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  <x:fill>
      <x:patternFill patternType="solid">
        <x:fgColor rgb="FFFFF1CC"/>
      </x:patternFill>
    </x:fill>
    <x:fill>
      <x:patternFill patternType="solid">
        <x:fgColor rgb="FFFDE2E2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200" fontId="7" fillId="0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9f5e6a96d4d06" /><Relationship Type="http://schemas.openxmlformats.org/officeDocument/2006/relationships/theme" Target="/xl/theme/theme1.xml" Id="R5b90f206bb4047ad" /><Relationship Type="http://schemas.openxmlformats.org/officeDocument/2006/relationships/sharedStrings" Target="/xl/sharedStrings.xml" Id="R61295f53f4d84c07" /><Relationship Type="http://schemas.openxmlformats.org/officeDocument/2006/relationships/worksheet" Target="/xl/worksheets/sheet1.xml" Id="Reacfc4b4912e4211" /><Relationship Type="http://schemas.openxmlformats.org/officeDocument/2006/relationships/worksheet" Target="/xl/worksheets/sheet2.xml" Id="R88e092cbe19a4058" /><Relationship Type="http://schemas.openxmlformats.org/officeDocument/2006/relationships/worksheet" Target="/xl/worksheets/sheet3.xml" Id="Rd10ac53d67c042be" /><Relationship Type="http://schemas.openxmlformats.org/officeDocument/2006/relationships/worksheet" Target="/xl/worksheets/sheet4.xml" Id="Re19805c88cf4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24" hidden="0" customWidth="1"/>
    <x:col min="5" max="5" width="16" hidden="0" customWidth="1"/>
    <x:col min="6" max="6" width="34" hidden="0" customWidth="1"/>
    <x:col min="7" max="7" width="32" hidden="0" customWidth="1"/>
  </x:cols>
  <x:sheetData>
    <x:row r="1" ht="28" customHeight="1">
      <x:c r="A1" s="34" t="str">
        <x:v>Stage 6 — Launch Readiness Checklist</x:v>
      </x:c>
      <x:c r="B1" s="35"/>
      <x:c r="C1" s="35"/>
      <x:c r="D1" s="35"/>
      <x:c r="E1" s="35"/>
      <x:c r="F1" s="35"/>
      <x:c r="G1" s="35"/>
    </x:row>
    <x:row r="2" ht="32" customHeight="1">
      <x:c r="A2" s="36" t="str">
        <x:v>Conditional readiness package | Complete with real evidence before customer exposure</x:v>
      </x:c>
      <x:c r="B2" s="35"/>
      <x:c r="C2" s="35"/>
      <x:c r="D2" s="35"/>
      <x:c r="E2" s="35"/>
      <x:c r="F2" s="35"/>
      <x:c r="G2" s="35"/>
    </x:row>
    <x:row r="3">
      <x:c r="A3" s="35"/>
      <x:c r="B3" s="35"/>
      <x:c r="C3" s="35"/>
      <x:c r="D3" s="35"/>
      <x:c r="E3" s="35"/>
      <x:c r="F3" s="35"/>
      <x:c r="G3" s="35"/>
    </x:row>
    <x:row r="4">
      <x:c r="A4" s="37" t="str">
        <x:v>ID</x:v>
      </x:c>
      <x:c r="B4" s="38" t="str">
        <x:v>Area</x:v>
      </x:c>
      <x:c r="C4" s="38" t="str">
        <x:v>Required evidence</x:v>
      </x:c>
      <x:c r="D4" s="38" t="str">
        <x:v>Owner</x:v>
      </x:c>
      <x:c r="E4" s="38" t="str">
        <x:v>Status</x:v>
      </x:c>
      <x:c r="F4" s="38" t="str">
        <x:v>Evidence link</x:v>
      </x:c>
      <x:c r="G4" s="39" t="str">
        <x:v>Blocker / notes</x:v>
      </x:c>
    </x:row>
    <x:row r="5" ht="42" customHeight="1">
      <x:c r="A5" s="40" t="str">
        <x:v>L01</x:v>
      </x:c>
      <x:c r="B5" s="40" t="str">
        <x:v>Customer truth</x:v>
      </x:c>
      <x:c r="C5" s="40" t="str">
        <x:v>Source-of-truth map and conflict test</x:v>
      </x:c>
      <x:c r="D5" s="40" t="str">
        <x:v>Engineering / Ops</x:v>
      </x:c>
      <x:c r="E5" s="40" t="str">
        <x:v>Not started</x:v>
      </x:c>
      <x:c r="F5" s="40" t="str"/>
      <x:c r="G5" s="40" t="str"/>
    </x:row>
    <x:row r="6" ht="42" customHeight="1">
      <x:c r="A6" s="41" t="str">
        <x:v>L02</x:v>
      </x:c>
      <x:c r="B6" s="41" t="str">
        <x:v>Policy</x:v>
      </x:c>
      <x:c r="C6" s="41" t="str">
        <x:v>Eligibility, recovery, and edge-case approval</x:v>
      </x:c>
      <x:c r="D6" s="41" t="str">
        <x:v>Product / Policy</x:v>
      </x:c>
      <x:c r="E6" s="41" t="str">
        <x:v>Not started</x:v>
      </x:c>
      <x:c r="F6" s="41" t="str"/>
      <x:c r="G6" s="41" t="str"/>
    </x:row>
    <x:row r="7" ht="42" customHeight="1">
      <x:c r="A7" s="41" t="str">
        <x:v>L03</x:v>
      </x:c>
      <x:c r="B7" s="41" t="str">
        <x:v>Safety</x:v>
      </x:c>
      <x:c r="C7" s="41" t="str">
        <x:v>Duplicate-action and false-final protections; rollback drill</x:v>
      </x:c>
      <x:c r="D7" s="41" t="str">
        <x:v>Payments / Engineering</x:v>
      </x:c>
      <x:c r="E7" s="41" t="str">
        <x:v>Not started</x:v>
      </x:c>
      <x:c r="F7" s="41" t="str"/>
      <x:c r="G7" s="41" t="str"/>
    </x:row>
    <x:row r="8" ht="42" customHeight="1">
      <x:c r="A8" s="41" t="str">
        <x:v>L04</x:v>
      </x:c>
      <x:c r="B8" s="41" t="str">
        <x:v>Support</x:v>
      </x:c>
      <x:c r="C8" s="41" t="str">
        <x:v>Shared case_id view, training, queue and escalation readiness</x:v>
      </x:c>
      <x:c r="D8" s="41" t="str">
        <x:v>Support Ops</x:v>
      </x:c>
      <x:c r="E8" s="41" t="str">
        <x:v>Not started</x:v>
      </x:c>
      <x:c r="F8" s="41" t="str"/>
      <x:c r="G8" s="41" t="str"/>
    </x:row>
    <x:row r="9" ht="42" customHeight="1">
      <x:c r="A9" s="41" t="str">
        <x:v>L05</x:v>
      </x:c>
      <x:c r="B9" s="41" t="str">
        <x:v>Analytics</x:v>
      </x:c>
      <x:c r="C9" s="41" t="str">
        <x:v>Exposure, outcome, guardrail, and cohort event QA</x:v>
      </x:c>
      <x:c r="D9" s="41" t="str">
        <x:v>Analytics</x:v>
      </x:c>
      <x:c r="E9" s="41" t="str">
        <x:v>Not started</x:v>
      </x:c>
      <x:c r="F9" s="41" t="str"/>
      <x:c r="G9" s="41" t="str"/>
    </x:row>
    <x:row r="10" ht="42" customHeight="1">
      <x:c r="A10" s="41" t="str">
        <x:v>L06</x:v>
      </x:c>
      <x:c r="B10" s="41" t="str">
        <x:v>Privacy</x:v>
      </x:c>
      <x:c r="C10" s="41" t="str">
        <x:v>Data minimization, retention, access, and review record</x:v>
      </x:c>
      <x:c r="D10" s="41" t="str">
        <x:v>Privacy / Security</x:v>
      </x:c>
      <x:c r="E10" s="41" t="str">
        <x:v>Not started</x:v>
      </x:c>
      <x:c r="F10" s="41" t="str"/>
      <x:c r="G10" s="41" t="str"/>
    </x:row>
    <x:row r="11" ht="42" customHeight="1">
      <x:c r="A11" s="41" t="str">
        <x:v>L07</x:v>
      </x:c>
      <x:c r="B11" s="41" t="str">
        <x:v>Rollout</x:v>
      </x:c>
      <x:c r="C11" s="41" t="str">
        <x:v>Feature flag, exclusions, and safe fallback tested</x:v>
      </x:c>
      <x:c r="D11" s="41" t="str">
        <x:v>Engineering</x:v>
      </x:c>
      <x:c r="E11" s="41" t="str">
        <x:v>Not started</x:v>
      </x:c>
      <x:c r="F11" s="41" t="str"/>
      <x:c r="G11" s="41" t="str"/>
    </x:row>
    <x:row r="12" ht="42" customHeight="1">
      <x:c r="A12" s="41" t="str">
        <x:v>L08</x:v>
      </x:c>
      <x:c r="B12" s="41" t="str">
        <x:v>Customer communication</x:v>
      </x:c>
      <x:c r="C12" s="41" t="str">
        <x:v>Copy review for truthful status and next action</x:v>
      </x:c>
      <x:c r="D12" s="41" t="str">
        <x:v>UX / Product</x:v>
      </x:c>
      <x:c r="E12" s="41" t="str">
        <x:v>Not started</x:v>
      </x:c>
      <x:c r="F12" s="41" t="str"/>
      <x:c r="G12" s="41" t="str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42" t="str">
        <x:v>Readiness status</x:v>
      </x:c>
      <x:c r="B14" s="42"/>
      <x:c r="C14" s="42"/>
      <x:c r="D14" s="42"/>
      <x:c r="E14" s="42"/>
      <x:c r="F14" s="42"/>
      <x:c r="G14" s="42"/>
    </x:row>
    <x:row r="15">
      <x:c r="A15" s="43" t="str">
        <x:f>IF(COUNTIF(E5:E12,"Blocked")&gt;0,"Blocked",IF(COUNTIF(E5:E12,"Not started")&gt;0,"Not ready",IF(COUNTIF(E5:E12,"In review")&gt;0,"In review","Ready for decision")))</x:f>
        <x:v>Not ready</x:v>
      </x:c>
      <x:c r="B15" s="43"/>
      <x:c r="C15" s="43"/>
      <x:c r="D15" s="43"/>
      <x:c r="E15" s="43"/>
      <x:c r="F15" s="43"/>
      <x:c r="G15" s="43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44" t="str">
        <x:v>Evidence rule: a blank, synthetic, or unapproved artifact does not make the launch ready.</x:v>
      </x:c>
      <x:c r="B17" s="44"/>
      <x:c r="C17" s="44"/>
      <x:c r="D17" s="44"/>
      <x:c r="E17" s="44"/>
      <x:c r="F17" s="44"/>
      <x:c r="G17" s="44"/>
    </x:row>
  </x:sheetData>
  <x:mergeCells>
    <x:mergeCell ref="A1:G1"/>
    <x:mergeCell ref="A2:G2"/>
    <x:mergeCell ref="A14:G14"/>
    <x:mergeCell ref="A15:G15"/>
    <x:mergeCell ref="A17:G17"/>
  </x:mergeCells>
  <x:dataValidations count="1">
    <x:dataValidation type="list" sqref="E5:E12">
      <x:formula1>"Not started,In review,Approved,Blocked"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0" hidden="0" customWidth="1"/>
    <x:col min="8" max="8" width="21" hidden="0" customWidth="1"/>
    <x:col min="9" max="9" width="35" hidden="0" customWidth="1"/>
  </x:cols>
  <x:sheetData>
    <x:row r="1" ht="28" customHeight="1">
      <x:c r="A1" s="34" t="str">
        <x:v>Stage 6 — Pilot Metrics</x:v>
      </x:c>
      <x:c r="B1" s="35"/>
      <x:c r="C1" s="35"/>
      <x:c r="D1" s="35"/>
      <x:c r="E1" s="35"/>
      <x:c r="F1" s="35"/>
      <x:c r="G1" s="35"/>
      <x:c r="H1" s="35"/>
      <x:c r="I1" s="35"/>
    </x:row>
    <x:row r="2" ht="32" customHeight="1">
      <x:c r="A2" s="36" t="str">
        <x:v>Real pilot input required | Blank actuals intentionally remain non-passing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>
      <x:c r="A4" s="37" t="str">
        <x:v>Metric</x:v>
      </x:c>
      <x:c r="B4" s="38" t="str">
        <x:v>Type</x:v>
      </x:c>
      <x:c r="C4" s="38" t="str">
        <x:v>Direction</x:v>
      </x:c>
      <x:c r="D4" s="38" t="str">
        <x:v>Baseline</x:v>
      </x:c>
      <x:c r="E4" s="38" t="str">
        <x:v>Pilot actual</x:v>
      </x:c>
      <x:c r="F4" s="38" t="str">
        <x:v>Target / ceiling</x:v>
      </x:c>
      <x:c r="G4" s="38" t="str">
        <x:v>Status</x:v>
      </x:c>
      <x:c r="H4" s="38" t="str">
        <x:v>Owner</x:v>
      </x:c>
      <x:c r="I4" s="39" t="str">
        <x:v>Evidence / notes</x:v>
      </x:c>
    </x:row>
    <x:row r="5" ht="36" customHeight="1">
      <x:c r="A5" s="40" t="str">
        <x:v>Confirmed resolution within promised SLA</x:v>
      </x:c>
      <x:c r="B5" s="40" t="str">
        <x:v>Primary</x:v>
      </x:c>
      <x:c r="C5" s="40" t="str">
        <x:v>Higher</x:v>
      </x:c>
      <x:c r="D5" s="45"/>
      <x:c r="E5" s="45"/>
      <x:c r="F5" s="45"/>
      <x:c r="G5" s="46" t="str">
        <x:f>IF(OR(E5="",F5=""),"Awaiting real data",IF(E5&gt;=F5,"Pass","Review"))</x:f>
        <x:v>Awaiting real data</x:v>
      </x:c>
      <x:c r="H5" s="40" t="str">
        <x:v>Operations</x:v>
      </x:c>
      <x:c r="I5" s="40" t="str">
        <x:v>Pre-register target before pilot</x:v>
      </x:c>
    </x:row>
    <x:row r="6" ht="36" customHeight="1">
      <x:c r="A6" s="41" t="str">
        <x:v>Repeat contacts per case</x:v>
      </x:c>
      <x:c r="B6" s="41" t="str">
        <x:v>Secondary</x:v>
      </x:c>
      <x:c r="C6" s="41" t="str">
        <x:v>Lower</x:v>
      </x:c>
      <x:c r="D6" s="47"/>
      <x:c r="E6" s="47"/>
      <x:c r="F6" s="47"/>
      <x:c r="G6" s="48" t="str">
        <x:f>IF(OR(D6="",E6="",F6=""),"Awaiting real data",IF(E6&lt;=F6,"Pass","Review"))</x:f>
        <x:v>Awaiting real data</x:v>
      </x:c>
      <x:c r="H6" s="41" t="str">
        <x:v>Support Ops</x:v>
      </x:c>
      <x:c r="I6" s="41" t="str">
        <x:v>Compare with approved baseline</x:v>
      </x:c>
    </x:row>
    <x:row r="7" ht="36" customHeight="1">
      <x:c r="A7" s="41" t="str">
        <x:v>Confirmed-resolution time (hours)</x:v>
      </x:c>
      <x:c r="B7" s="41" t="str">
        <x:v>Secondary</x:v>
      </x:c>
      <x:c r="C7" s="41" t="str">
        <x:v>Lower</x:v>
      </x:c>
      <x:c r="D7" s="47"/>
      <x:c r="E7" s="47"/>
      <x:c r="F7" s="47"/>
      <x:c r="G7" s="48" t="str">
        <x:f>IF(OR(D7="",E7="",F7=""),"Awaiting real data",IF(E7&lt;=F7,"Pass","Review"))</x:f>
        <x:v>Awaiting real data</x:v>
      </x:c>
      <x:c r="H7" s="41" t="str">
        <x:v>Operations</x:v>
      </x:c>
      <x:c r="I7" s="41" t="str">
        <x:v>Compare with approved baseline</x:v>
      </x:c>
    </x:row>
    <x:row r="8" ht="36" customHeight="1">
      <x:c r="A8" s="41" t="str">
        <x:v>Understood-next rate</x:v>
      </x:c>
      <x:c r="B8" s="41" t="str">
        <x:v>Customer</x:v>
      </x:c>
      <x:c r="C8" s="41" t="str">
        <x:v>Higher</x:v>
      </x:c>
      <x:c r="D8" s="47"/>
      <x:c r="E8" s="47"/>
      <x:c r="F8" s="47" t="n">
        <x:v>0.75</x:v>
      </x:c>
      <x:c r="G8" s="48" t="str">
        <x:f>IF(E8="","Awaiting real data",IF(E8&gt;=F8,"Pass","Fail"))</x:f>
        <x:v>Awaiting real data</x:v>
      </x:c>
      <x:c r="H8" s="41" t="str">
        <x:v>UX Research</x:v>
      </x:c>
      <x:c r="I8" s="41" t="str">
        <x:v>Sampled-case or research evidence</x:v>
      </x:c>
    </x:row>
    <x:row r="9" ht="36" customHeight="1">
      <x:c r="A9" s="41" t="str">
        <x:v>Recovery completion rate</x:v>
      </x:c>
      <x:c r="B9" s="41" t="str">
        <x:v>Secondary customer</x:v>
      </x:c>
      <x:c r="C9" s="41" t="str">
        <x:v>Higher</x:v>
      </x:c>
      <x:c r="D9" s="47"/>
      <x:c r="E9" s="47"/>
      <x:c r="F9" s="47"/>
      <x:c r="G9" s="48" t="str">
        <x:f>IF(OR(D9="",E9="",F9=""),"Awaiting real data",IF(E9&gt;=F9,"Pass","Review"))</x:f>
        <x:v>Awaiting real data</x:v>
      </x:c>
      <x:c r="H9" s="41" t="str">
        <x:v>Product</x:v>
      </x:c>
      <x:c r="I9" s="41" t="str">
        <x:v>Compare with approved baseline</x:v>
      </x:c>
    </x:row>
    <x:row r="10" ht="36" customHeight="1">
      <x:c r="A10" s="41" t="str">
        <x:v>Incorrect recovery rate</x:v>
      </x:c>
      <x:c r="B10" s="41" t="str">
        <x:v>Guardrail</x:v>
      </x:c>
      <x:c r="C10" s="41" t="str">
        <x:v>Zero</x:v>
      </x:c>
      <x:c r="D10" s="47"/>
      <x:c r="E10" s="47"/>
      <x:c r="F10" s="47" t="n">
        <x:v>0</x:v>
      </x:c>
      <x:c r="G10" s="48" t="str">
        <x:f>IF(E10="","Awaiting real data",IF(E10&lt;=F10,"Pass","Fail"))</x:f>
        <x:v>Awaiting real data</x:v>
      </x:c>
      <x:c r="H10" s="41" t="str">
        <x:v>Policy / Payments</x:v>
      </x:c>
      <x:c r="I10" s="41" t="str">
        <x:v>Zero tolerated</x:v>
      </x:c>
    </x:row>
    <x:row r="11" ht="36" customHeight="1">
      <x:c r="A11" s="41" t="str">
        <x:v>False final outcome</x:v>
      </x:c>
      <x:c r="B11" s="41" t="str">
        <x:v>Guardrail</x:v>
      </x:c>
      <x:c r="C11" s="41" t="str">
        <x:v>Zero</x:v>
      </x:c>
      <x:c r="D11" s="47"/>
      <x:c r="E11" s="47"/>
      <x:c r="F11" s="47" t="n">
        <x:v>0</x:v>
      </x:c>
      <x:c r="G11" s="48" t="str">
        <x:f>IF(E11="","Awaiting real data",IF(E11&lt;=F11,"Pass","Fail"))</x:f>
        <x:v>Awaiting real data</x:v>
      </x:c>
      <x:c r="H11" s="41" t="str">
        <x:v>Product / Engineering</x:v>
      </x:c>
      <x:c r="I11" s="41" t="str">
        <x:v>Zero tolerated</x:v>
      </x:c>
    </x:row>
    <x:row r="12" ht="36" customHeight="1">
      <x:c r="A12" s="41" t="str">
        <x:v>Duplicate financial action</x:v>
      </x:c>
      <x:c r="B12" s="41" t="str">
        <x:v>Guardrail</x:v>
      </x:c>
      <x:c r="C12" s="41" t="str">
        <x:v>Zero</x:v>
      </x:c>
      <x:c r="D12" s="47"/>
      <x:c r="E12" s="47"/>
      <x:c r="F12" s="47" t="n">
        <x:v>0</x:v>
      </x:c>
      <x:c r="G12" s="48" t="str">
        <x:f>IF(E12="","Awaiting real data",IF(E12&lt;=F12,"Pass","Fail"))</x:f>
        <x:v>Awaiting real data</x:v>
      </x:c>
      <x:c r="H12" s="41" t="str">
        <x:v>Payments</x:v>
      </x:c>
      <x:c r="I12" s="41" t="str">
        <x:v>Zero tolerated</x:v>
      </x:c>
    </x:row>
    <x:row r="13" ht="36" customHeight="1">
      <x:c r="A13" s="41" t="str">
        <x:v>Event conflict rate</x:v>
      </x:c>
      <x:c r="B13" s="41" t="str">
        <x:v>Data quality</x:v>
      </x:c>
      <x:c r="C13" s="41" t="str">
        <x:v>Lower</x:v>
      </x:c>
      <x:c r="D13" s="47"/>
      <x:c r="E13" s="47"/>
      <x:c r="F13" s="47" t="n">
        <x:v>0.05</x:v>
      </x:c>
      <x:c r="G13" s="48" t="str">
        <x:f>IF(E13="","Awaiting real data",IF(E13&lt;=F13,"Pass","Review"))</x:f>
        <x:v>Awaiting real data</x:v>
      </x:c>
      <x:c r="H13" s="41" t="str">
        <x:v>Engineering</x:v>
      </x:c>
      <x:c r="I13" s="41" t="str">
        <x:v>Pilot ceiling</x:v>
      </x:c>
    </x:row>
    <x:row r="14" ht="36" customHeight="1">
      <x:c r="A14" s="41" t="str">
        <x:v>SLA breach rate</x:v>
      </x:c>
      <x:c r="B14" s="41" t="str">
        <x:v>Operations</x:v>
      </x:c>
      <x:c r="C14" s="41" t="str">
        <x:v>Lower</x:v>
      </x:c>
      <x:c r="D14" s="47"/>
      <x:c r="E14" s="47"/>
      <x:c r="F14" s="47" t="n">
        <x:v>0.2</x:v>
      </x:c>
      <x:c r="G14" s="48" t="str">
        <x:f>IF(E14="","Awaiting real data",IF(E14&lt;=F14,"Pass","Review"))</x:f>
        <x:v>Awaiting real data</x:v>
      </x:c>
      <x:c r="H14" s="41" t="str">
        <x:v>Operations</x:v>
      </x:c>
      <x:c r="I14" s="41" t="str">
        <x:v>Pilot ceiling</x:v>
      </x:c>
    </x:row>
    <x:row r="15" ht="36" customHeight="1">
      <x:c r="A15" s="41" t="str">
        <x:v>Support handle-time increase</x:v>
      </x:c>
      <x:c r="B15" s="41" t="str">
        <x:v>Operations</x:v>
      </x:c>
      <x:c r="C15" s="41" t="str">
        <x:v>Lower</x:v>
      </x:c>
      <x:c r="D15" s="47"/>
      <x:c r="E15" s="47"/>
      <x:c r="F15" s="47" t="n">
        <x:v>0.15</x:v>
      </x:c>
      <x:c r="G15" s="48" t="str">
        <x:f>IF(E15="","Awaiting real data",IF(E15&lt;=F15,"Pass","Review"))</x:f>
        <x:v>Awaiting real data</x:v>
      </x:c>
      <x:c r="H15" s="41" t="str">
        <x:v>Support Ops</x:v>
      </x:c>
      <x:c r="I15" s="41" t="str">
        <x:v>Maximum increase versus baseline</x:v>
      </x:c>
    </x:row>
    <x:row r="16" ht="36" customHeight="1">
      <x:c r="A16" s="41" t="str">
        <x:v>Case-linkage completeness</x:v>
      </x:c>
      <x:c r="B16" s="41" t="str">
        <x:v>Data quality</x:v>
      </x:c>
      <x:c r="C16" s="41" t="str">
        <x:v>Higher</x:v>
      </x:c>
      <x:c r="D16" s="47"/>
      <x:c r="E16" s="47"/>
      <x:c r="F16" s="47" t="n">
        <x:v>0.95</x:v>
      </x:c>
      <x:c r="G16" s="48" t="str">
        <x:f>IF(E16="","Awaiting real data",IF(E16&gt;=F16,"Pass","Fail"))</x:f>
        <x:v>Awaiting real data</x:v>
      </x:c>
      <x:c r="H16" s="41" t="str">
        <x:v>Analytics</x:v>
      </x:c>
      <x:c r="I16" s="41" t="str">
        <x:v>No decision below 95%</x:v>
      </x:c>
    </x:row>
    <x:row r="17">
      <x:c r="A17" s="44" t="str">
        <x:v>Synthetic Stage 5 values are excluded from this sheet. Populate baseline and pilot actuals only from an approved real pilot evidence package.</x:v>
      </x:c>
      <x:c r="B17" s="44"/>
      <x:c r="C17" s="44"/>
      <x:c r="D17" s="44"/>
      <x:c r="E17" s="44"/>
      <x:c r="F17" s="44"/>
      <x:c r="G17" s="44"/>
      <x:c r="H17" s="44"/>
      <x:c r="I17" s="44"/>
    </x:row>
  </x:sheetData>
  <x:mergeCells>
    <x:mergeCell ref="A1:I1"/>
    <x:mergeCell ref="A2:I2"/>
    <x:mergeCell ref="A17:I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42" hidden="0" customWidth="1"/>
  </x:cols>
  <x:sheetData>
    <x:row r="1" ht="28" customHeight="1">
      <x:c r="A1" s="34" t="str">
        <x:v>Stage 6 — Operating Review Log</x:v>
      </x:c>
      <x:c r="B1" s="35"/>
      <x:c r="C1" s="35"/>
      <x:c r="D1" s="35"/>
      <x:c r="E1" s="35"/>
      <x:c r="F1" s="35"/>
      <x:c r="G1" s="35"/>
      <x:c r="H1" s="35"/>
    </x:row>
    <x:row r="2" ht="32" customHeight="1">
      <x:c r="A2" s="36" t="str">
        <x:v>Daily and weekly review record for controlled exposure</x:v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7" t="str">
        <x:v>Review date</x:v>
      </x:c>
      <x:c r="B4" s="38" t="str">
        <x:v>Phase</x:v>
      </x:c>
      <x:c r="C4" s="38" t="str">
        <x:v>Cases exposed</x:v>
      </x:c>
      <x:c r="D4" s="38" t="str">
        <x:v>Linkage %</x:v>
      </x:c>
      <x:c r="E4" s="38" t="str">
        <x:v>Conflict %</x:v>
      </x:c>
      <x:c r="F4" s="38" t="str">
        <x:v>P0/P1 incidents</x:v>
      </x:c>
      <x:c r="G4" s="38" t="str">
        <x:v>Decision</x:v>
      </x:c>
      <x:c r="H4" s="39" t="str">
        <x:v>Owner / notes</x:v>
      </x:c>
    </x:row>
    <x:row r="5" ht="34" customHeight="1">
      <x:c r="A5" s="40" t="str">
        <x:v>[YYYY-MM-DD]</x:v>
      </x:c>
      <x:c r="B5" s="40" t="str">
        <x:v>Controlled pilot</x:v>
      </x:c>
      <x:c r="C5" s="40"/>
      <x:c r="D5" s="45"/>
      <x:c r="E5" s="45"/>
      <x:c r="F5" s="40"/>
      <x:c r="G5" s="40" t="str">
        <x:v>Pending</x:v>
      </x:c>
      <x:c r="H5" s="40" t="str"/>
    </x:row>
    <x:row r="6" ht="34" customHeight="1">
      <x:c r="A6" s="41" t="str">
        <x:v>[YYYY-MM-DD]</x:v>
      </x:c>
      <x:c r="B6" s="41" t="str">
        <x:v>Controlled pilot</x:v>
      </x:c>
      <x:c r="C6" s="41"/>
      <x:c r="D6" s="47"/>
      <x:c r="E6" s="47"/>
      <x:c r="F6" s="41"/>
      <x:c r="G6" s="41" t="str">
        <x:v>Pending</x:v>
      </x:c>
      <x:c r="H6" s="41" t="str"/>
    </x:row>
    <x:row r="7" ht="34" customHeight="1">
      <x:c r="A7" s="41" t="str">
        <x:v>[YYYY-MM-DD]</x:v>
      </x:c>
      <x:c r="B7" s="41" t="str">
        <x:v>Day 7 review</x:v>
      </x:c>
      <x:c r="C7" s="41"/>
      <x:c r="D7" s="47"/>
      <x:c r="E7" s="47"/>
      <x:c r="F7" s="41"/>
      <x:c r="G7" s="41" t="str">
        <x:v>Pending</x:v>
      </x:c>
      <x:c r="H7" s="41" t="str"/>
    </x:row>
    <x:row r="8" ht="34" customHeight="1">
      <x:c r="A8" s="41" t="str">
        <x:v>[YYYY-MM-DD]</x:v>
      </x:c>
      <x:c r="B8" s="41" t="str">
        <x:v>Day 30 review</x:v>
      </x:c>
      <x:c r="C8" s="41"/>
      <x:c r="D8" s="47"/>
      <x:c r="E8" s="47"/>
      <x:c r="F8" s="41"/>
      <x:c r="G8" s="41" t="str">
        <x:v>Pending</x:v>
      </x:c>
      <x:c r="H8" s="41" t="str"/>
    </x:row>
    <x:row r="9" ht="34" customHeight="1">
      <x:c r="A9" s="41" t="str">
        <x:v>[YYYY-MM-DD]</x:v>
      </x:c>
      <x:c r="B9" s="41" t="str">
        <x:v>Incident review</x:v>
      </x:c>
      <x:c r="C9" s="41"/>
      <x:c r="D9" s="47"/>
      <x:c r="E9" s="47"/>
      <x:c r="F9" s="41"/>
      <x:c r="G9" s="41" t="str">
        <x:v>Pending</x:v>
      </x:c>
      <x:c r="H9" s="41" t="str"/>
    </x:row>
    <x:row r="10" ht="34" customHeight="1">
      <x:c r="A10" s="41" t="str">
        <x:v>[YYYY-MM-DD]</x:v>
      </x:c>
      <x:c r="B10" s="41" t="str">
        <x:v>Weekly review</x:v>
      </x:c>
      <x:c r="C10" s="41"/>
      <x:c r="D10" s="47"/>
      <x:c r="E10" s="47"/>
      <x:c r="F10" s="41"/>
      <x:c r="G10" s="41" t="str">
        <x:v>Pending</x:v>
      </x:c>
      <x:c r="H10" s="41" t="str"/>
    </x:row>
  </x:sheetData>
  <x:mergeCells>
    <x:mergeCell ref="A1:H1"/>
    <x:mergeCell ref="A2:H2"/>
  </x:mergeCells>
  <x:dataValidations count="1">
    <x:dataValidation type="list" sqref="G5:G10">
      <x:formula1>"Pending,Continue,Pause,Rollback,Extend,Scale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16" hidden="0" customWidth="1"/>
    <x:col min="4" max="4" width="34" hidden="0" customWidth="1"/>
    <x:col min="5" max="5" width="23" hidden="0" customWidth="1"/>
    <x:col min="6" max="6" width="28" hidden="0" customWidth="1"/>
  </x:cols>
  <x:sheetData>
    <x:row r="1" ht="28" customHeight="1">
      <x:c r="A1" s="34" t="str">
        <x:v>Stage 6 — Final Product Decision Gate</x:v>
      </x:c>
      <x:c r="B1" s="35"/>
      <x:c r="C1" s="35"/>
      <x:c r="D1" s="35"/>
      <x:c r="E1" s="35"/>
      <x:c r="F1" s="35"/>
    </x:row>
    <x:row r="2" ht="32" customHeight="1">
      <x:c r="A2" s="36" t="str">
        <x:v>Scale eligibility is formula-driven; incomplete evidence stays blocked</x:v>
      </x:c>
      <x:c r="B2" s="35"/>
      <x:c r="C2" s="35"/>
      <x:c r="D2" s="35"/>
      <x:c r="E2" s="35"/>
      <x:c r="F2" s="35"/>
    </x:row>
    <x:row r="3">
      <x:c r="A3" s="35"/>
      <x:c r="B3" s="35"/>
      <x:c r="C3" s="35"/>
      <x:c r="D3" s="35"/>
      <x:c r="E3" s="35"/>
      <x:c r="F3" s="35"/>
    </x:row>
    <x:row r="4">
      <x:c r="A4" s="37" t="str">
        <x:v>Criterion</x:v>
      </x:c>
      <x:c r="B4" s="38" t="str">
        <x:v>Required evidence</x:v>
      </x:c>
      <x:c r="C4" s="38" t="str">
        <x:v>Status</x:v>
      </x:c>
      <x:c r="D4" s="38" t="str">
        <x:v>Evidence link</x:v>
      </x:c>
      <x:c r="E4" s="38" t="str">
        <x:v>Owner</x:v>
      </x:c>
      <x:c r="F4" s="39" t="str">
        <x:v>Notes</x:v>
      </x:c>
    </x:row>
    <x:row r="5" ht="42" customHeight="1">
      <x:c r="A5" s="40" t="str">
        <x:v>Readiness checklist complete</x:v>
      </x:c>
      <x:c r="B5" s="40" t="str">
        <x:v>All blocking L01–L07 checks approved</x:v>
      </x:c>
      <x:c r="C5" s="40" t="str">
        <x:v>Pending</x:v>
      </x:c>
      <x:c r="D5" s="40" t="str"/>
      <x:c r="E5" s="40" t="str">
        <x:v>Product</x:v>
      </x:c>
      <x:c r="F5" s="40" t="str"/>
    </x:row>
    <x:row r="6" ht="42" customHeight="1">
      <x:c r="A6" s="41" t="str">
        <x:v>Real baseline and cohort defined</x:v>
      </x:c>
      <x:c r="B6" s="41" t="str">
        <x:v>Approved baseline window and eligible cohort</x:v>
      </x:c>
      <x:c r="C6" s="41" t="str">
        <x:v>Pending</x:v>
      </x:c>
      <x:c r="D6" s="41" t="str"/>
      <x:c r="E6" s="41" t="str">
        <x:v>Analytics</x:v>
      </x:c>
      <x:c r="F6" s="41" t="str"/>
    </x:row>
    <x:row r="7" ht="42" customHeight="1">
      <x:c r="A7" s="41" t="str">
        <x:v>Primary outcome passes</x:v>
      </x:c>
      <x:c r="B7" s="41" t="str">
        <x:v>Confirmed resolution within promised SLA meets the approved target</x:v>
      </x:c>
      <x:c r="C7" s="41" t="str">
        <x:v>Pending</x:v>
      </x:c>
      <x:c r="D7" s="41" t="str"/>
      <x:c r="E7" s="41" t="str">
        <x:v>Product</x:v>
      </x:c>
      <x:c r="F7" s="41" t="str">
        <x:v>Repeat contacts and comprehension must not regress</x:v>
      </x:c>
    </x:row>
    <x:row r="8" ht="42" customHeight="1">
      <x:c r="A8" s="41" t="str">
        <x:v>Guardrails pass</x:v>
      </x:c>
      <x:c r="B8" s="41" t="str">
        <x:v>No incorrect recovery, false final, or duplicate financial action</x:v>
      </x:c>
      <x:c r="C8" s="41" t="str">
        <x:v>Pending</x:v>
      </x:c>
      <x:c r="D8" s="41" t="str"/>
      <x:c r="E8" s="41" t="str">
        <x:v>Payments / Policy</x:v>
      </x:c>
      <x:c r="F8" s="41" t="str"/>
    </x:row>
    <x:row r="9" ht="42" customHeight="1">
      <x:c r="A9" s="41" t="str">
        <x:v>Data quality passes</x:v>
      </x:c>
      <x:c r="B9" s="41" t="str">
        <x:v>Linkage ≥95%; conflicts within ceiling</x:v>
      </x:c>
      <x:c r="C9" s="41" t="str">
        <x:v>Pending</x:v>
      </x:c>
      <x:c r="D9" s="41" t="str"/>
      <x:c r="E9" s="41" t="str">
        <x:v>Analytics / Engineering</x:v>
      </x:c>
      <x:c r="F9" s="41" t="str"/>
    </x:row>
    <x:row r="10" ht="42" customHeight="1">
      <x:c r="A10" s="41" t="str">
        <x:v>Support and incident readiness passes</x:v>
      </x:c>
      <x:c r="B10" s="41" t="str">
        <x:v>Handle time, training, queue, and incident status acceptable</x:v>
      </x:c>
      <x:c r="C10" s="41" t="str">
        <x:v>Pending</x:v>
      </x:c>
      <x:c r="D10" s="41" t="str"/>
      <x:c r="E10" s="41" t="str">
        <x:v>Support Ops</x:v>
      </x:c>
      <x:c r="F10" s="41" t="str"/>
    </x:row>
    <x:row r="11" ht="42" customHeight="1">
      <x:c r="A11" s="41" t="str">
        <x:v>Cross-functional approvals recorded</x:v>
      </x:c>
      <x:c r="B11" s="41" t="str">
        <x:v>Required functions sign the decision record</x:v>
      </x:c>
      <x:c r="C11" s="41" t="str">
        <x:v>Pending</x:v>
      </x:c>
      <x:c r="D11" s="41" t="str"/>
      <x:c r="E11" s="41" t="str">
        <x:v>Product</x:v>
      </x:c>
      <x:c r="F11" s="41" t="str"/>
    </x:row>
    <x:row r="12">
      <x:c r="A12" s="35"/>
      <x:c r="B12" s="35"/>
      <x:c r="C12" s="35"/>
      <x:c r="D12" s="35"/>
      <x:c r="E12" s="35"/>
      <x:c r="F12" s="35"/>
    </x:row>
    <x:row r="13">
      <x:c r="A13" s="42" t="str">
        <x:v>Recommendation</x:v>
      </x:c>
      <x:c r="B13" s="42"/>
      <x:c r="C13" s="42"/>
      <x:c r="D13" s="42"/>
      <x:c r="E13" s="42"/>
      <x:c r="F13" s="42"/>
    </x:row>
    <x:row r="14">
      <x:c r="A14" s="43" t="str">
        <x:f>IF(COUNTIF(C5:C11,"Fail")&gt;0,"Rollback / hold exposure",IF(COUNTIF(C5:C11,"Blocked")&gt;0,"Stay blocked",IF(COUNTIF(C5:C11,"Pending")&gt;0,"Stay blocked","Scale eligible — obtain final approvals")))</x:f>
        <x:v>Stay blocked</x:v>
      </x:c>
      <x:c r="B14" s="43"/>
      <x:c r="C14" s="43"/>
      <x:c r="D14" s="43"/>
      <x:c r="E14" s="43"/>
      <x:c r="F14" s="43"/>
    </x:row>
    <x:row r="15">
      <x:c r="A15" s="35"/>
      <x:c r="B15" s="35"/>
      <x:c r="C15" s="35"/>
      <x:c r="D15" s="35"/>
      <x:c r="E15" s="35"/>
      <x:c r="F15" s="35"/>
    </x:row>
    <x:row r="16">
      <x:c r="A16" s="44" t="str">
        <x:v>Current portfolio recommendation: Stay blocked for broad scale. Stage 5 synthetic replay is a mechanics demonstration, not live evidence.</x:v>
      </x:c>
      <x:c r="B16" s="44"/>
      <x:c r="C16" s="44"/>
      <x:c r="D16" s="44"/>
      <x:c r="E16" s="44"/>
      <x:c r="F16" s="44"/>
    </x:row>
  </x:sheetData>
  <x:mergeCells>
    <x:mergeCell ref="A1:F1"/>
    <x:mergeCell ref="A2:F2"/>
    <x:mergeCell ref="A13:F13"/>
    <x:mergeCell ref="A14:F14"/>
    <x:mergeCell ref="A16:F16"/>
  </x:mergeCells>
  <x:dataValidations count="1">
    <x:dataValidation type="list" sqref="C5:C11">
      <x:formula1>"Pending,Pass,Fail,Blocked"</x:formula1>
    </x:dataValidation>
  </x:dataValidations>
  <x:pageMargins left="0.7" right="0.7" top="0.75" bottom="0.75" header="0.3" footer="0.3"/>
</x:worksheet>
</file>