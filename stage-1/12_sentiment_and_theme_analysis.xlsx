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59f7cbb84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ample" sheetId="1" r:id="R64598ac57ea64239"/>
    <x:sheet xmlns:r="http://schemas.openxmlformats.org/officeDocument/2006/relationships" name="Summary" sheetId="2" r:id="R5702a79044c1450b"/>
    <x:sheet xmlns:r="http://schemas.openxmlformats.org/officeDocument/2006/relationships" name="Theme analysis" sheetId="3" r:id="R5252c521839d46bc"/>
    <x:sheet xmlns:r="http://schemas.openxmlformats.org/officeDocument/2006/relationships" name="Journey analysis" sheetId="4" r:id="Rda0c73cd33e04289"/>
    <x:sheet xmlns:r="http://schemas.openxmlformats.org/officeDocument/2006/relationships" name="Severity analysis" sheetId="5" r:id="R082ed9018850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sz val="9"/>
      <x:name val="Arial"/>
    </x:font>
    <x:font>
      <x:b/>
      <x:sz val="9"/>
      <x:color rgb="FF16324F"/>
      <x:name val="Arial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FFF1CC"/>
      </x:patternFill>
    </x:fill>
  </x:fills>
  <x:borders count="10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vertical="center" wrapText="1"/>
    </x:xf>
    <x:xf numFmtId="0" fontId="9" fillId="2" borderId="3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vertical="center" wrapText="1"/>
    </x:xf>
    <x:xf numFmtId="0" fontId="9" fillId="2" borderId="5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9" fillId="2" borderId="7" xfId="0" applyNumberFormat="1" applyFont="1" applyFill="1" applyBorder="1" applyAlignment="1">
      <x:alignment vertical="center" wrapText="1"/>
    </x:xf>
    <x:xf numFmtId="200" fontId="7" fillId="0" borderId="6" xfId="0" applyNumberFormat="1" applyFont="1" applyFill="1" applyBorder="1" applyAlignment="1">
      <x:alignment vertical="top" wrapText="1"/>
    </x:xf>
    <x:xf numFmtId="200" fontId="7" fillId="0" borderId="7" xfId="0" applyNumberFormat="1" applyFont="1" applyFill="1" applyBorder="1" applyAlignment="1">
      <x:alignment vertical="top" wrapText="1"/>
    </x:xf>
    <x:xf numFmtId="0" fontId="9" fillId="2" borderId="9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7f9767ed54c3a" /><Relationship Type="http://schemas.openxmlformats.org/officeDocument/2006/relationships/theme" Target="/xl/theme/theme1.xml" Id="R191906fa107345fc" /><Relationship Type="http://schemas.openxmlformats.org/officeDocument/2006/relationships/sharedStrings" Target="/xl/sharedStrings.xml" Id="R0afe3fd1ddea40e1" /><Relationship Type="http://schemas.openxmlformats.org/officeDocument/2006/relationships/worksheet" Target="/xl/worksheets/sheet1.xml" Id="R64598ac57ea64239" /><Relationship Type="http://schemas.openxmlformats.org/officeDocument/2006/relationships/worksheet" Target="/xl/worksheets/sheet2.xml" Id="R5702a79044c1450b" /><Relationship Type="http://schemas.openxmlformats.org/officeDocument/2006/relationships/worksheet" Target="/xl/worksheets/sheet3.xml" Id="R5252c521839d46bc" /><Relationship Type="http://schemas.openxmlformats.org/officeDocument/2006/relationships/worksheet" Target="/xl/worksheets/sheet4.xml" Id="Rda0c73cd33e04289" /><Relationship Type="http://schemas.openxmlformats.org/officeDocument/2006/relationships/worksheet" Target="/xl/worksheets/sheet5.xml" Id="R082ed9018850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42" hidden="0" customWidth="1"/>
    <x:col min="8" max="8" width="14" hidden="0" customWidth="1"/>
    <x:col min="9" max="9" width="14" hidden="0" customWidth="1"/>
    <x:col min="10" max="10" width="10" hidden="0" customWidth="1"/>
    <x:col min="11" max="11" width="26" hidden="0" customWidth="1"/>
    <x:col min="12" max="12" width="62" hidden="0" customWidth="1"/>
    <x:col min="13" max="13" width="12" hidden="0" customWidth="1"/>
    <x:col min="14" max="14" width="18" hidden="0" customWidth="1"/>
    <x:col min="15" max="15" width="28" hidden="0" customWidth="1"/>
    <x:col min="16" max="16" width="26" hidden="0" customWidth="1"/>
    <x:col min="17" max="17" width="12" hidden="0" customWidth="1"/>
    <x:col min="18" max="18" width="12" hidden="0" customWidth="1"/>
    <x:col min="19" max="19" width="24" hidden="0" customWidth="1"/>
    <x:col min="20" max="20" width="18" hidden="0" customWidth="1"/>
    <x:col min="21" max="21" width="22" hidden="0" customWidth="1"/>
    <x:col min="22" max="22" width="18" hidden="0" customWidth="1"/>
    <x:col min="23" max="23" width="28" hidden="0" customWidth="1"/>
    <x:col min="24" max="24" width="42" hidden="0" customWidth="1"/>
    <x:col min="25" max="25" width="14" hidden="0" customWidth="1"/>
    <x:col min="26" max="26" width="44" hidden="0" customWidth="1"/>
  </x:cols>
  <x:sheetData>
    <x:row r="1" ht="34" customHeight="1">
      <x:c r="A1" s="12" t="str">
        <x:v>feedback_id</x:v>
      </x:c>
      <x:c r="B1" s="12" t="str">
        <x:v>product</x:v>
      </x:c>
      <x:c r="C1" s="12" t="str">
        <x:v>platform</x:v>
      </x:c>
      <x:c r="D1" s="12" t="str">
        <x:v>market</x:v>
      </x:c>
      <x:c r="E1" s="12" t="str">
        <x:v>source_type</x:v>
      </x:c>
      <x:c r="F1" s="12" t="str">
        <x:v>source_name</x:v>
      </x:c>
      <x:c r="G1" s="12" t="str">
        <x:v>source_url</x:v>
      </x:c>
      <x:c r="H1" s="12" t="str">
        <x:v>review_or_post_date</x:v>
      </x:c>
      <x:c r="I1" s="12" t="str">
        <x:v>access_date</x:v>
      </x:c>
      <x:c r="J1" s="12" t="str">
        <x:v>star_rating</x:v>
      </x:c>
      <x:c r="K1" s="12" t="str">
        <x:v>review_title</x:v>
      </x:c>
      <x:c r="L1" s="12" t="str">
        <x:v>review_text_or_paraphrase</x:v>
      </x:c>
      <x:c r="M1" s="12" t="str">
        <x:v>language</x:v>
      </x:c>
      <x:c r="N1" s="12" t="str">
        <x:v>journey_stage</x:v>
      </x:c>
      <x:c r="O1" s="12" t="str">
        <x:v>theme</x:v>
      </x:c>
      <x:c r="P1" s="12" t="str">
        <x:v>subtheme</x:v>
      </x:c>
      <x:c r="Q1" s="12" t="str">
        <x:v>sentiment</x:v>
      </x:c>
      <x:c r="R1" s="12" t="str">
        <x:v>severity</x:v>
      </x:c>
      <x:c r="S1" s="12" t="str">
        <x:v>evidence_type</x:v>
      </x:c>
      <x:c r="T1" s="12" t="str">
        <x:v>likely_locus</x:v>
      </x:c>
      <x:c r="U1" s="12" t="str">
        <x:v>user_segment</x:v>
      </x:c>
      <x:c r="V1" s="12" t="str">
        <x:v>category</x:v>
      </x:c>
      <x:c r="W1" s="12" t="str">
        <x:v>impact_signal</x:v>
      </x:c>
      <x:c r="X1" s="12" t="str">
        <x:v>requested_change</x:v>
      </x:c>
      <x:c r="Y1" s="12" t="str">
        <x:v>privacy_redacted</x:v>
      </x:c>
      <x:c r="Z1" s="12" t="str">
        <x:v>analyst_notes</x:v>
      </x:c>
    </x:row>
    <x:row r="2" ht="66" customHeight="1">
      <x:c r="A2" s="6" t="str">
        <x:v>AMZ-0001</x:v>
      </x:c>
      <x:c r="B2" s="6" t="str">
        <x:v>Amazon India</x:v>
      </x:c>
      <x:c r="C2" s="6" t="str">
        <x:v>iOS App Store</x:v>
      </x:c>
      <x:c r="D2" s="6" t="str">
        <x:v>India</x:v>
      </x:c>
      <x:c r="E2" s="6" t="str">
        <x:v>App Store review</x:v>
      </x:c>
      <x:c r="F2" s="6" t="str">
        <x:v>Apple App Store</x:v>
      </x:c>
      <x:c r="G2" s="6" t="str">
        <x:v>https://apps.apple.com/in/app/amazon-india-shop-pay-minitv/id1478350915</x:v>
      </x:c>
      <x:c r="H2" s="6" t="str">
        <x:v>2026-04-22</x:v>
      </x:c>
      <x:c r="I2" s="6" t="str">
        <x:v>2026-08-09</x:v>
      </x:c>
      <x:c r="J2" s="6" t="str">
        <x:v>1</x:v>
      </x:c>
      <x:c r="K2" s="6" t="str">
        <x:v>Worst Customer Service</x:v>
      </x:c>
      <x:c r="L2" s="6" t="str">
        <x:v>Bulk order for an event was reduced to one item, then cancelled after repeated assurances; reviewer reported no usable resolution.</x:v>
      </x:c>
      <x:c r="M2" s="6" t="str">
        <x:v>English</x:v>
      </x:c>
      <x:c r="N2" s="6" t="str">
        <x:v>Delivery</x:v>
      </x:c>
      <x:c r="O2" s="6" t="str">
        <x:v>Delivery reliability</x:v>
      </x:c>
      <x:c r="P2" s="6" t="str">
        <x:v>Bulk-order fulfilment</x:v>
      </x:c>
      <x:c r="Q2" s="6" t="str">
        <x:v>Negative</x:v>
      </x:c>
      <x:c r="R2" s="6" t="str">
        <x:v>Critical</x:v>
      </x:c>
      <x:c r="S2" s="6" t="str">
        <x:v>Direct user account</x:v>
      </x:c>
      <x:c r="T2" s="6" t="str">
        <x:v>Service/support</x:v>
      </x:c>
      <x:c r="U2" s="6" t="str">
        <x:v>Event or bulk buyer</x:v>
      </x:c>
      <x:c r="V2" s="6" t="str">
        <x:v>General merchandise</x:v>
      </x:c>
      <x:c r="W2" s="6" t="str">
        <x:v>Missed event and loss of trust</x:v>
      </x:c>
      <x:c r="X2" s="6" t="str">
        <x:v>Show quantity confirmation, cancellation reason, and escalation path.</x:v>
      </x:c>
      <x:c r="Y2" s="6" t="str">
        <x:v>Yes</x:v>
      </x:c>
      <x:c r="Z2" s="6" t="str">
        <x:v>Public review; paraphrased to reduce quotation and personal-data risk.</x:v>
      </x:c>
    </x:row>
    <x:row r="3" ht="66" customHeight="1">
      <x:c r="A3" s="6" t="str">
        <x:v>AMZ-0002</x:v>
      </x:c>
      <x:c r="B3" s="6" t="str">
        <x:v>Amazon India</x:v>
      </x:c>
      <x:c r="C3" s="6" t="str">
        <x:v>iOS App Store</x:v>
      </x:c>
      <x:c r="D3" s="6" t="str">
        <x:v>India</x:v>
      </x:c>
      <x:c r="E3" s="6" t="str">
        <x:v>App Store review</x:v>
      </x:c>
      <x:c r="F3" s="6" t="str">
        <x:v>Apple App Store</x:v>
      </x:c>
      <x:c r="G3" s="6" t="str">
        <x:v>https://apps.apple.com/in/app/amazon-india-shop-pay-minitv/id1478350915</x:v>
      </x:c>
      <x:c r="H3" s="6" t="str">
        <x:v>2024-10-05</x:v>
      </x:c>
      <x:c r="I3" s="6" t="str">
        <x:v>2026-08-09</x:v>
      </x:c>
      <x:c r="J3" s="6" t="str">
        <x:v>1</x:v>
      </x:c>
      <x:c r="K3" s="6" t="str">
        <x:v>Worst App and service</x:v>
      </x:c>
      <x:c r="L3" s="6" t="str">
        <x:v>Order was marked delivered or handed to someone, but reviewer said it was not received; support did not resolve the case.</x:v>
      </x:c>
      <x:c r="M3" s="6" t="str">
        <x:v>English</x:v>
      </x:c>
      <x:c r="N3" s="6" t="str">
        <x:v>Delivery</x:v>
      </x:c>
      <x:c r="O3" s="6" t="str">
        <x:v>Delivery reliability</x:v>
      </x:c>
      <x:c r="P3" s="6" t="str">
        <x:v>False delivery state</x:v>
      </x:c>
      <x:c r="Q3" s="6" t="str">
        <x:v>Negative</x:v>
      </x:c>
      <x:c r="R3" s="6" t="str">
        <x:v>Critical</x:v>
      </x:c>
      <x:c r="S3" s="6" t="str">
        <x:v>Direct user account</x:v>
      </x:c>
      <x:c r="T3" s="6" t="str">
        <x:v>Service/support</x:v>
      </x:c>
      <x:c r="U3" s="6" t="str">
        <x:v>Household buyer</x:v>
      </x:c>
      <x:c r="V3" s="6" t="str">
        <x:v>General merchandise</x:v>
      </x:c>
      <x:c r="W3" s="6" t="str">
        <x:v>Financial loss and trust erosion</x:v>
      </x:c>
      <x:c r="X3" s="6" t="str">
        <x:v>Require verifiable handoff evidence and make non-receipt escalation visible.</x:v>
      </x:c>
      <x:c r="Y3" s="6" t="str">
        <x:v>Yes</x:v>
      </x:c>
      <x:c r="Z3" s="6" t="str">
        <x:v>Public review; exact identity omitted.</x:v>
      </x:c>
    </x:row>
    <x:row r="4" ht="66" customHeight="1">
      <x:c r="A4" s="6" t="str">
        <x:v>AMZ-0003</x:v>
      </x:c>
      <x:c r="B4" s="6" t="str">
        <x:v>Amazon India</x:v>
      </x:c>
      <x:c r="C4" s="6" t="str">
        <x:v>iOS App Store</x:v>
      </x:c>
      <x:c r="D4" s="6" t="str">
        <x:v>India</x:v>
      </x:c>
      <x:c r="E4" s="6" t="str">
        <x:v>App Store review</x:v>
      </x:c>
      <x:c r="F4" s="6" t="str">
        <x:v>Apple App Store</x:v>
      </x:c>
      <x:c r="G4" s="6" t="str">
        <x:v>https://apps.apple.com/in/app/amazon-india-shop-pay-minitv/id1478350915</x:v>
      </x:c>
      <x:c r="H4" s="6" t="str"/>
      <x:c r="I4" s="6" t="str">
        <x:v>2026-08-09</x:v>
      </x:c>
      <x:c r="J4" s="6" t="str">
        <x:v>1</x:v>
      </x:c>
      <x:c r="K4" s="6" t="str">
        <x:v>The worst service delivery platform</x:v>
      </x:c>
      <x:c r="L4" s="6" t="str">
        <x:v>Reviewer described repeated delivery-agent uncertainty, poor support visibility, and repeated instructions to wait.</x:v>
      </x:c>
      <x:c r="M4" s="6" t="str">
        <x:v>English</x:v>
      </x:c>
      <x:c r="N4" s="6" t="str">
        <x:v>Delivery</x:v>
      </x:c>
      <x:c r="O4" s="6" t="str">
        <x:v>Delivery reliability</x:v>
      </x:c>
      <x:c r="P4" s="6" t="str">
        <x:v>Tracking/contactability</x:v>
      </x:c>
      <x:c r="Q4" s="6" t="str">
        <x:v>Negative</x:v>
      </x:c>
      <x:c r="R4" s="6" t="str">
        <x:v>High</x:v>
      </x:c>
      <x:c r="S4" s="6" t="str">
        <x:v>Direct user account</x:v>
      </x:c>
      <x:c r="T4" s="6" t="str">
        <x:v>Service/support</x:v>
      </x:c>
      <x:c r="U4" s="6" t="str">
        <x:v>Frequent buyer</x:v>
      </x:c>
      <x:c r="V4" s="6" t="str">
        <x:v>General merchandise</x:v>
      </x:c>
      <x:c r="W4" s="6" t="str">
        <x:v>Repeated effort and frustration</x:v>
      </x:c>
      <x:c r="X4" s="6" t="str">
        <x:v>Expose delivery contact/status confidence and a clear escalation SLA.</x:v>
      </x:c>
      <x:c r="Y4" s="6" t="str">
        <x:v>Yes</x:v>
      </x:c>
      <x:c r="Z4" s="6" t="str">
        <x:v>Review date shown as 23 May; year not reliably available in captured page.</x:v>
      </x:c>
    </x:row>
    <x:row r="5" ht="66" customHeight="1">
      <x:c r="A5" s="6" t="str">
        <x:v>AMZ-0004</x:v>
      </x:c>
      <x:c r="B5" s="6" t="str">
        <x:v>Amazon India</x:v>
      </x:c>
      <x:c r="C5" s="6" t="str">
        <x:v>iOS App Store</x:v>
      </x:c>
      <x:c r="D5" s="6" t="str">
        <x:v>India</x:v>
      </x:c>
      <x:c r="E5" s="6" t="str">
        <x:v>App Store review</x:v>
      </x:c>
      <x:c r="F5" s="6" t="str">
        <x:v>Apple App Store</x:v>
      </x:c>
      <x:c r="G5" s="6" t="str">
        <x:v>https://apps.apple.com/in/app/amazon-india-shop-pay-minitv/id1478350915</x:v>
      </x:c>
      <x:c r="H5" s="6" t="str">
        <x:v>2024-12-20</x:v>
      </x:c>
      <x:c r="I5" s="6" t="str">
        <x:v>2026-08-09</x:v>
      </x:c>
      <x:c r="J5" s="6" t="str">
        <x:v>1</x:v>
      </x:c>
      <x:c r="K5" s="6" t="str">
        <x:v>A Disappointing Experience with Serious Flaws</x:v>
      </x:c>
      <x:c r="L5" s="6" t="str">
        <x:v>Reviewer said sort and filter choices did not produce the expected product order or filtering.</x:v>
      </x:c>
      <x:c r="M5" s="6" t="str">
        <x:v>English</x:v>
      </x:c>
      <x:c r="N5" s="6" t="str">
        <x:v>Discovery</x:v>
      </x:c>
      <x:c r="O5" s="6" t="str">
        <x:v>Search and browse</x:v>
      </x:c>
      <x:c r="P5" s="6" t="str">
        <x:v>Sort/filter reliability</x:v>
      </x:c>
      <x:c r="Q5" s="6" t="str">
        <x:v>Negative</x:v>
      </x:c>
      <x:c r="R5" s="6" t="str">
        <x:v>High</x:v>
      </x:c>
      <x:c r="S5" s="6" t="str">
        <x:v>Direct user account</x:v>
      </x:c>
      <x:c r="T5" s="6" t="str">
        <x:v>App/product</x:v>
      </x:c>
      <x:c r="U5" s="6" t="str">
        <x:v>Intent-driven shopper</x:v>
      </x:c>
      <x:c r="V5" s="6" t="str">
        <x:v>General merchandise</x:v>
      </x:c>
      <x:c r="W5" s="6" t="str">
        <x:v>Wasted time and reduced confidence</x:v>
      </x:c>
      <x:c r="X5" s="6" t="str">
        <x:v>Add filter-result verification and preserve selected criteria.</x:v>
      </x:c>
      <x:c r="Y5" s="6" t="str">
        <x:v>Yes</x:v>
      </x:c>
      <x:c r="Z5" s="6" t="str">
        <x:v>Public review; platform behavior is user-reported and needs reproduction.</x:v>
      </x:c>
    </x:row>
    <x:row r="6" ht="66" customHeight="1">
      <x:c r="A6" s="6" t="str">
        <x:v>AMZ-0005</x:v>
      </x:c>
      <x:c r="B6" s="6" t="str">
        <x:v>Amazon India</x:v>
      </x:c>
      <x:c r="C6" s="6" t="str">
        <x:v>iOS App Store</x:v>
      </x:c>
      <x:c r="D6" s="6" t="str">
        <x:v>India</x:v>
      </x:c>
      <x:c r="E6" s="6" t="str">
        <x:v>App Store review</x:v>
      </x:c>
      <x:c r="F6" s="6" t="str">
        <x:v>Apple App Store</x:v>
      </x:c>
      <x:c r="G6" s="6" t="str">
        <x:v>https://apps.apple.com/in/app/amazon-india-shop-pay-minitv/id1478350915</x:v>
      </x:c>
      <x:c r="H6" s="6" t="str">
        <x:v>2024-08-24</x:v>
      </x:c>
      <x:c r="I6" s="6" t="str">
        <x:v>2026-08-09</x:v>
      </x:c>
      <x:c r="J6" s="6" t="str"/>
      <x:c r="K6" s="6" t="str">
        <x:v>Issue with undelivered orders</x:v>
      </x:c>
      <x:c r="L6" s="6" t="str">
        <x:v>Reviewer praised general service and returns for damaged/unwanted items, but reported no direct path when an order was not delivered and the app showed a questionable handoff.</x:v>
      </x:c>
      <x:c r="M6" s="6" t="str">
        <x:v>English</x:v>
      </x:c>
      <x:c r="N6" s="6" t="str">
        <x:v>Delivery</x:v>
      </x:c>
      <x:c r="O6" s="6" t="str">
        <x:v>Delivery reliability</x:v>
      </x:c>
      <x:c r="P6" s="6" t="str">
        <x:v>Non-delivery escalation</x:v>
      </x:c>
      <x:c r="Q6" s="6" t="str">
        <x:v>Mixed</x:v>
      </x:c>
      <x:c r="R6" s="6" t="str">
        <x:v>High</x:v>
      </x:c>
      <x:c r="S6" s="6" t="str">
        <x:v>Direct user account</x:v>
      </x:c>
      <x:c r="T6" s="6" t="str">
        <x:v>Service/support</x:v>
      </x:c>
      <x:c r="U6" s="6" t="str">
        <x:v>General buyer</x:v>
      </x:c>
      <x:c r="V6" s="6" t="str">
        <x:v>General merchandise</x:v>
      </x:c>
      <x:c r="W6" s="6" t="str">
        <x:v>Positive return experience undermined by exception handling</x:v>
      </x:c>
      <x:c r="X6" s="6" t="str">
        <x:v>Provide a dedicated non-delivery workflow with one-to-one support.</x:v>
      </x:c>
      <x:c r="Y6" s="6" t="str">
        <x:v>Yes</x:v>
      </x:c>
      <x:c r="Z6" s="6" t="str">
        <x:v>Mixed evidence: strength and pain point in the same review.</x:v>
      </x:c>
    </x:row>
    <x:row r="7" ht="66" customHeight="1">
      <x:c r="A7" s="6" t="str">
        <x:v>AMZ-0006</x:v>
      </x:c>
      <x:c r="B7" s="6" t="str">
        <x:v>Amazon India</x:v>
      </x:c>
      <x:c r="C7" s="6" t="str">
        <x:v>Android</x:v>
      </x:c>
      <x:c r="D7" s="6" t="str">
        <x:v>India</x:v>
      </x:c>
      <x:c r="E7" s="6" t="str">
        <x:v>Third-party review aggregation</x:v>
      </x:c>
      <x:c r="F7" s="6" t="str">
        <x:v>Chrome-Stats</x:v>
      </x:c>
      <x:c r="G7" s="6" t="str">
        <x:v>https://chrome-stats.com/d/in.amazon.mShop.android.shopping/reviews</x:v>
      </x:c>
      <x:c r="H7" s="6" t="str"/>
      <x:c r="I7" s="6" t="str">
        <x:v>2026-08-09</x:v>
      </x:c>
      <x:c r="J7" s="6" t="str"/>
      <x:c r="K7" s="6" t="str">
        <x:v>Aggregate review summary</x:v>
      </x:c>
      <x:c r="L7" s="6" t="str">
        <x:v>Aggregator summary reports generally positive usability and product sentiment, with recurring complaints about crashes, unreliable delivery tracking, slow refunds, inconsistent support, and high prices.</x:v>
      </x:c>
      <x:c r="M7" s="6" t="str">
        <x:v>English</x:v>
      </x:c>
      <x:c r="N7" s="6" t="str">
        <x:v>Multiple</x:v>
      </x:c>
      <x:c r="O7" s="6" t="str">
        <x:v>App stability</x:v>
      </x:c>
      <x:c r="P7" s="6" t="str">
        <x:v>Aggregate themes</x:v>
      </x:c>
      <x:c r="Q7" s="6" t="str">
        <x:v>Negative</x:v>
      </x:c>
      <x:c r="R7" s="6" t="str">
        <x:v>High</x:v>
      </x:c>
      <x:c r="S7" s="6" t="str">
        <x:v>Aggregated secondary summary</x:v>
      </x:c>
      <x:c r="T7" s="6" t="str">
        <x:v>Unknown</x:v>
      </x:c>
      <x:c r="U7" s="6" t="str">
        <x:v>Multiple segments</x:v>
      </x:c>
      <x:c r="V7" s="6" t="str">
        <x:v>Multiple categories</x:v>
      </x:c>
      <x:c r="W7" s="6" t="str">
        <x:v>Directional theme signal only</x:v>
      </x:c>
      <x:c r="X7" s="6" t="str">
        <x:v>Validate each theme against primary reviews and product analytics.</x:v>
      </x:c>
      <x:c r="Y7" s="6" t="str">
        <x:v>Yes</x:v>
      </x:c>
      <x:c r="Z7" s="6" t="str">
        <x:v>Not treated as a raw individual review.</x:v>
      </x:c>
    </x:row>
    <x:row r="8" ht="66" customHeight="1">
      <x:c r="A8" s="6" t="str">
        <x:v>AMZ-0007</x:v>
      </x:c>
      <x:c r="B8" s="6" t="str">
        <x:v>Amazon India</x:v>
      </x:c>
      <x:c r="C8" s="6" t="str">
        <x:v>Android</x:v>
      </x:c>
      <x:c r="D8" s="6" t="str">
        <x:v>India</x:v>
      </x:c>
      <x:c r="E8" s="6" t="str">
        <x:v>Google Play listing</x:v>
      </x:c>
      <x:c r="F8" s="6" t="str">
        <x:v>Google Play</x:v>
      </x:c>
      <x:c r="G8" s="6" t="str">
        <x:v>https://play.google.com/store/apps/details?hl=en-US&amp;id=in.amazon.mShop.android.shopping</x:v>
      </x:c>
      <x:c r="H8" s="6" t="str"/>
      <x:c r="I8" s="6" t="str">
        <x:v>2026-08-09</x:v>
      </x:c>
      <x:c r="J8" s="6" t="str">
        <x:v>4.4</x:v>
      </x:c>
      <x:c r="K8" s="6" t="str">
        <x:v>App listing rating and scale</x:v>
      </x:c>
      <x:c r="L8" s="6" t="str">
        <x:v>Google Play listing exposes a very large rating base and current app metadata; exact count and rating should be recorded during Stage 1 capture.</x:v>
      </x:c>
      <x:c r="M8" s="6" t="str">
        <x:v>English</x:v>
      </x:c>
      <x:c r="N8" s="6" t="str">
        <x:v>Multiple</x:v>
      </x:c>
      <x:c r="O8" s="6" t="str">
        <x:v>Convenience and selection</x:v>
      </x:c>
      <x:c r="P8" s="6" t="str">
        <x:v>Scale signal</x:v>
      </x:c>
      <x:c r="Q8" s="6" t="str">
        <x:v>Positive</x:v>
      </x:c>
      <x:c r="R8" s="6" t="str">
        <x:v>Low</x:v>
      </x:c>
      <x:c r="S8" s="6" t="str">
        <x:v>Platform metadata</x:v>
      </x:c>
      <x:c r="T8" s="6" t="str">
        <x:v>App/product</x:v>
      </x:c>
      <x:c r="U8" s="6" t="str">
        <x:v>Multiple segments</x:v>
      </x:c>
      <x:c r="V8" s="6" t="str">
        <x:v>Multiple categories</x:v>
      </x:c>
      <x:c r="W8" s="6" t="str">
        <x:v>Large sample opportunity</x:v>
      </x:c>
      <x:c r="X8" s="6" t="str">
        <x:v>Capture locale-specific count and version metadata.</x:v>
      </x:c>
      <x:c r="Y8" s="6" t="str">
        <x:v>Yes</x:v>
      </x:c>
      <x:c r="Z8" s="6" t="str">
        <x:v>Metadata/context record, not an individual review.</x:v>
      </x:c>
    </x:row>
    <x:row r="9" ht="66" customHeight="1">
      <x:c r="A9" s="6" t="str">
        <x:v>AMZ-0008</x:v>
      </x:c>
      <x:c r="B9" s="6" t="str">
        <x:v>Amazon India</x:v>
      </x:c>
      <x:c r="C9" s="6" t="str">
        <x:v>iOS App Store</x:v>
      </x:c>
      <x:c r="D9" s="6" t="str">
        <x:v>India</x:v>
      </x:c>
      <x:c r="E9" s="6" t="str">
        <x:v>App Store listing</x:v>
      </x:c>
      <x:c r="F9" s="6" t="str">
        <x:v>Apple App Store</x:v>
      </x:c>
      <x:c r="G9" s="6" t="str">
        <x:v>https://apps.apple.com/in/app/amazon-india-shop-pay-minitv/id1478350915</x:v>
      </x:c>
      <x:c r="H9" s="6" t="str"/>
      <x:c r="I9" s="6" t="str">
        <x:v>2026-08-09</x:v>
      </x:c>
      <x:c r="J9" s="6" t="str">
        <x:v>4.6</x:v>
      </x:c>
      <x:c r="K9" s="6" t="str">
        <x:v>App listing rating and scale</x:v>
      </x:c>
      <x:c r="L9" s="6" t="str">
        <x:v>India App Store listing describes broad selection, Amazon Pay/UPI, COD, order tracking, returns, and customer support; it displays a large rating base.</x:v>
      </x:c>
      <x:c r="M9" s="6" t="str">
        <x:v>English</x:v>
      </x:c>
      <x:c r="N9" s="6" t="str">
        <x:v>Multiple</x:v>
      </x:c>
      <x:c r="O9" s="6" t="str">
        <x:v>Convenience and selection</x:v>
      </x:c>
      <x:c r="P9" s="6" t="str">
        <x:v>Capability promise</x:v>
      </x:c>
      <x:c r="Q9" s="6" t="str">
        <x:v>Positive</x:v>
      </x:c>
      <x:c r="R9" s="6" t="str">
        <x:v>Low</x:v>
      </x:c>
      <x:c r="S9" s="6" t="str">
        <x:v>Platform metadata</x:v>
      </x:c>
      <x:c r="T9" s="6" t="str">
        <x:v>App/product</x:v>
      </x:c>
      <x:c r="U9" s="6" t="str">
        <x:v>Multiple segments</x:v>
      </x:c>
      <x:c r="V9" s="6" t="str">
        <x:v>Multiple categories</x:v>
      </x:c>
      <x:c r="W9" s="6" t="str">
        <x:v>Strong capability proposition</x:v>
      </x:c>
      <x:c r="X9" s="6" t="str">
        <x:v>Compare capability promise with experience themes.</x:v>
      </x:c>
      <x:c r="Y9" s="6" t="str">
        <x:v>Yes</x:v>
      </x:c>
      <x:c r="Z9" s="6" t="str">
        <x:v>Product description is not equivalent to user evidence.</x:v>
      </x:c>
    </x:row>
    <x:row r="10" ht="66" customHeight="1">
      <x:c r="A10" s="6" t="str">
        <x:v>AMZ-0009</x:v>
      </x:c>
      <x:c r="B10" s="6" t="str">
        <x:v>Amazon India</x:v>
      </x:c>
      <x:c r="C10" s="6" t="str">
        <x:v>Reddit</x:v>
      </x:c>
      <x:c r="D10" s="6" t="str">
        <x:v>India</x:v>
      </x:c>
      <x:c r="E10" s="6" t="str">
        <x:v>Community post</x:v>
      </x:c>
      <x:c r="F10" s="6" t="str">
        <x:v>Reddit r/amazonindia</x:v>
      </x:c>
      <x:c r="G10" s="6" t="str">
        <x:v>https://www.reddit.com/r/amazonindia/comments/1uf3isq/amazon_india_fails_when_others_assure_delivery/</x:v>
      </x:c>
      <x:c r="H10" s="6" t="str"/>
      <x:c r="I10" s="6" t="str">
        <x:v>2026-08-09</x:v>
      </x:c>
      <x:c r="J10" s="6" t="str"/>
      <x:c r="K10" s="6" t="str">
        <x:v>Delivery failure discussion</x:v>
      </x:c>
      <x:c r="L10" s="6" t="str">
        <x:v>Post calls for better delivery management, customer support, and refund policies after service failures.</x:v>
      </x:c>
      <x:c r="M10" s="6" t="str">
        <x:v>English</x:v>
      </x:c>
      <x:c r="N10" s="6" t="str">
        <x:v>Delivery</x:v>
      </x:c>
      <x:c r="O10" s="6" t="str">
        <x:v>Delivery reliability</x:v>
      </x:c>
      <x:c r="P10" s="6" t="str">
        <x:v>Promise versus outcome</x:v>
      </x:c>
      <x:c r="Q10" s="6" t="str">
        <x:v>Negative</x:v>
      </x:c>
      <x:c r="R10" s="6" t="str">
        <x:v>High</x:v>
      </x:c>
      <x:c r="S10" s="6" t="str">
        <x:v>Opinion and account narrative</x:v>
      </x:c>
      <x:c r="T10" s="6" t="str">
        <x:v>Service/support</x:v>
      </x:c>
      <x:c r="U10" s="6" t="str">
        <x:v>Frequent buyer</x:v>
      </x:c>
      <x:c r="V10" s="6" t="str">
        <x:v>General merchandise</x:v>
      </x:c>
      <x:c r="W10" s="6" t="str">
        <x:v>Churn and trust risk</x:v>
      </x:c>
      <x:c r="X10" s="6" t="str">
        <x:v>Make delivery promise confidence and compensation rules clearer.</x:v>
      </x:c>
      <x:c r="Y10" s="6" t="str">
        <x:v>Yes</x:v>
      </x:c>
      <x:c r="Z10" s="6" t="str">
        <x:v>Relative publication timing shown as last month; exact date not captured.</x:v>
      </x:c>
    </x:row>
    <x:row r="11" ht="66" customHeight="1">
      <x:c r="A11" s="6" t="str">
        <x:v>AMZ-0010</x:v>
      </x:c>
      <x:c r="B11" s="6" t="str">
        <x:v>Amazon India</x:v>
      </x:c>
      <x:c r="C11" s="6" t="str">
        <x:v>Reddit</x:v>
      </x:c>
      <x:c r="D11" s="6" t="str">
        <x:v>India</x:v>
      </x:c>
      <x:c r="E11" s="6" t="str">
        <x:v>Community post</x:v>
      </x:c>
      <x:c r="F11" s="6" t="str">
        <x:v>Reddit r/amazonindia</x:v>
      </x:c>
      <x:c r="G11" s="6" t="str">
        <x:v>https://www.reddit.com/r/amazonindia/comments/1s7v80q/rant_on_amazon_customer_service_issue/</x:v>
      </x:c>
      <x:c r="H11" s="6" t="str"/>
      <x:c r="I11" s="6" t="str">
        <x:v>2026-08-09</x:v>
      </x:c>
      <x:c r="J11" s="6" t="str"/>
      <x:c r="K11" s="6" t="str">
        <x:v>Refund and support issue</x:v>
      </x:c>
      <x:c r="L11" s="6" t="str">
        <x:v>Post describes an order marked out for delivery followed by refund messaging and difficulty reaching a human support path.</x:v>
      </x:c>
      <x:c r="M11" s="6" t="str">
        <x:v>English</x:v>
      </x:c>
      <x:c r="N11" s="6" t="str">
        <x:v>Post-purchase</x:v>
      </x:c>
      <x:c r="O11" s="6" t="str">
        <x:v>Support access and consistency</x:v>
      </x:c>
      <x:c r="P11" s="6" t="str">
        <x:v>Exception resolution</x:v>
      </x:c>
      <x:c r="Q11" s="6" t="str">
        <x:v>Negative</x:v>
      </x:c>
      <x:c r="R11" s="6" t="str">
        <x:v>High</x:v>
      </x:c>
      <x:c r="S11" s="6" t="str">
        <x:v>Opinion and account narrative</x:v>
      </x:c>
      <x:c r="T11" s="6" t="str">
        <x:v>Service/support</x:v>
      </x:c>
      <x:c r="U11" s="6" t="str">
        <x:v>General buyer</x:v>
      </x:c>
      <x:c r="V11" s="6" t="str">
        <x:v>General merchandise</x:v>
      </x:c>
      <x:c r="W11" s="6" t="str">
        <x:v>Repeated contact effort</x:v>
      </x:c>
      <x:c r="X11" s="6" t="str">
        <x:v>Make human escalation and refund status explicit.</x:v>
      </x:c>
      <x:c r="Y11" s="6" t="str">
        <x:v>Yes</x:v>
      </x:c>
      <x:c r="Z11" s="6" t="str">
        <x:v>Relative publication timing shown as four months ago.</x:v>
      </x:c>
    </x:row>
    <x:row r="12" ht="66" customHeight="1">
      <x:c r="A12" s="6" t="str">
        <x:v>AMZ-0011</x:v>
      </x:c>
      <x:c r="B12" s="6" t="str">
        <x:v>Amazon India</x:v>
      </x:c>
      <x:c r="C12" s="6" t="str">
        <x:v>Reddit</x:v>
      </x:c>
      <x:c r="D12" s="6" t="str">
        <x:v>India</x:v>
      </x:c>
      <x:c r="E12" s="6" t="str">
        <x:v>Community post</x:v>
      </x:c>
      <x:c r="F12" s="6" t="str">
        <x:v>Reddit r/amazonindia</x:v>
      </x:c>
      <x:c r="G12" s="6" t="str">
        <x:v>https://www.reddit.com/r/amazonindia/comments/1vgypx3/amazon_customer_care_suggested_me_not_to_buy_prime_membership_anymore/</x:v>
      </x:c>
      <x:c r="H12" s="6" t="str"/>
      <x:c r="I12" s="6" t="str">
        <x:v>2026-08-09</x:v>
      </x:c>
      <x:c r="J12" s="6" t="str"/>
      <x:c r="K12" s="6" t="str">
        <x:v>Prime and delivery reliability</x:v>
      </x:c>
      <x:c r="L12" s="6" t="str">
        <x:v>Post links Prime dissatisfaction to repeated stuck, rejected, or payment-not-ready orders and a shift toward cash on delivery.</x:v>
      </x:c>
      <x:c r="M12" s="6" t="str">
        <x:v>English</x:v>
      </x:c>
      <x:c r="N12" s="6" t="str">
        <x:v>Delivery</x:v>
      </x:c>
      <x:c r="O12" s="6" t="str">
        <x:v>Delivery reliability</x:v>
      </x:c>
      <x:c r="P12" s="6" t="str">
        <x:v>Prime value</x:v>
      </x:c>
      <x:c r="Q12" s="6" t="str">
        <x:v>Negative</x:v>
      </x:c>
      <x:c r="R12" s="6" t="str">
        <x:v>High</x:v>
      </x:c>
      <x:c r="S12" s="6" t="str">
        <x:v>Opinion and account narrative</x:v>
      </x:c>
      <x:c r="T12" s="6" t="str">
        <x:v>Service/support</x:v>
      </x:c>
      <x:c r="U12" s="6" t="str">
        <x:v>Prime member</x:v>
      </x:c>
      <x:c r="V12" s="6" t="str">
        <x:v>General merchandise</x:v>
      </x:c>
      <x:c r="W12" s="6" t="str">
        <x:v>Subscription churn risk</x:v>
      </x:c>
      <x:c r="X12" s="6" t="str">
        <x:v>Tie Prime promise, order confidence, and service recovery together.</x:v>
      </x:c>
      <x:c r="Y12" s="6" t="str">
        <x:v>Yes</x:v>
      </x:c>
      <x:c r="Z12" s="6" t="str">
        <x:v>Relative publication timing shown as three days ago.</x:v>
      </x:c>
    </x:row>
    <x:row r="13" ht="66" customHeight="1">
      <x:c r="A13" s="6" t="str">
        <x:v>AMZ-0012</x:v>
      </x:c>
      <x:c r="B13" s="6" t="str">
        <x:v>Amazon India</x:v>
      </x:c>
      <x:c r="C13" s="6" t="str">
        <x:v>Reddit</x:v>
      </x:c>
      <x:c r="D13" s="6" t="str">
        <x:v>India</x:v>
      </x:c>
      <x:c r="E13" s="6" t="str">
        <x:v>Community post</x:v>
      </x:c>
      <x:c r="F13" s="6" t="str">
        <x:v>Reddit r/amazonindia</x:v>
      </x:c>
      <x:c r="G13" s="6" t="str">
        <x:v>https://www.reddit.com/r/amazonindia/comments/1v1v4tt/amazon_cs_completely_broken/</x:v>
      </x:c>
      <x:c r="H13" s="6" t="str"/>
      <x:c r="I13" s="6" t="str">
        <x:v>2026-08-09</x:v>
      </x:c>
      <x:c r="J13" s="6" t="str"/>
      <x:c r="K13" s="6" t="str">
        <x:v>Support and delivery cancellation</x:v>
      </x:c>
      <x:c r="L13" s="6" t="str">
        <x:v>Post alleges a failed delivery attempt, immediate cancellation/refund trigger, and difficulty getting a consistent response from support.</x:v>
      </x:c>
      <x:c r="M13" s="6" t="str">
        <x:v>English</x:v>
      </x:c>
      <x:c r="N13" s="6" t="str">
        <x:v>Post-purchase</x:v>
      </x:c>
      <x:c r="O13" s="6" t="str">
        <x:v>Support access and consistency</x:v>
      </x:c>
      <x:c r="P13" s="6" t="str">
        <x:v>Delivery exception</x:v>
      </x:c>
      <x:c r="Q13" s="6" t="str">
        <x:v>Negative</x:v>
      </x:c>
      <x:c r="R13" s="6" t="str">
        <x:v>High</x:v>
      </x:c>
      <x:c r="S13" s="6" t="str">
        <x:v>Opinion and account narrative</x:v>
      </x:c>
      <x:c r="T13" s="6" t="str">
        <x:v>Service/support</x:v>
      </x:c>
      <x:c r="U13" s="6" t="str">
        <x:v>General buyer</x:v>
      </x:c>
      <x:c r="V13" s="6" t="str">
        <x:v>General merchandise</x:v>
      </x:c>
      <x:c r="W13" s="6" t="str">
        <x:v>Trust and operational cost</x:v>
      </x:c>
      <x:c r="X13" s="6" t="str">
        <x:v>Create a consistent incident timeline across delivery and support.</x:v>
      </x:c>
      <x:c r="Y13" s="6" t="str">
        <x:v>Yes</x:v>
      </x:c>
      <x:c r="Z13" s="6" t="str">
        <x:v>Relative publication timing shown as two weeks ago.</x:v>
      </x:c>
    </x:row>
    <x:row r="14" ht="66" customHeight="1">
      <x:c r="A14" s="6" t="str">
        <x:v>AMZ-0013</x:v>
      </x:c>
      <x:c r="B14" s="6" t="str">
        <x:v>Amazon India</x:v>
      </x:c>
      <x:c r="C14" s="6" t="str">
        <x:v>Reddit</x:v>
      </x:c>
      <x:c r="D14" s="6" t="str">
        <x:v>India</x:v>
      </x:c>
      <x:c r="E14" s="6" t="str">
        <x:v>Community post</x:v>
      </x:c>
      <x:c r="F14" s="6" t="str">
        <x:v>Reddit r/amazonindia</x:v>
      </x:c>
      <x:c r="G14" s="6" t="str">
        <x:v>https://www.reddit.com/r/amazonindia/comments/1t8ah7b/amazon_india_is_stealing_my_money_3_missing_orders_and_now_a_box_of_broken_shards_with_no_support/</x:v>
      </x:c>
      <x:c r="H14" s="6" t="str"/>
      <x:c r="I14" s="6" t="str">
        <x:v>2026-08-09</x:v>
      </x:c>
      <x:c r="J14" s="6" t="str"/>
      <x:c r="K14" s="6" t="str">
        <x:v>Missing orders and missing support</x:v>
      </x:c>
      <x:c r="L14" s="6" t="str">
        <x:v>Post reports multiple missing orders, damaged goods, and loss of access to support chat/call options for an order.</x:v>
      </x:c>
      <x:c r="M14" s="6" t="str">
        <x:v>English</x:v>
      </x:c>
      <x:c r="N14" s="6" t="str">
        <x:v>Post-purchase</x:v>
      </x:c>
      <x:c r="O14" s="6" t="str">
        <x:v>Support access and consistency</x:v>
      </x:c>
      <x:c r="P14" s="6" t="str">
        <x:v>Missing/damaged order</x:v>
      </x:c>
      <x:c r="Q14" s="6" t="str">
        <x:v>Negative</x:v>
      </x:c>
      <x:c r="R14" s="6" t="str">
        <x:v>Critical</x:v>
      </x:c>
      <x:c r="S14" s="6" t="str">
        <x:v>Opinion and account narrative</x:v>
      </x:c>
      <x:c r="T14" s="6" t="str">
        <x:v>Service/support</x:v>
      </x:c>
      <x:c r="U14" s="6" t="str">
        <x:v>High-value buyer</x:v>
      </x:c>
      <x:c r="V14" s="6" t="str">
        <x:v>General merchandise</x:v>
      </x:c>
      <x:c r="W14" s="6" t="str">
        <x:v>Financial loss and severe trust risk</x:v>
      </x:c>
      <x:c r="X14" s="6" t="str">
        <x:v>Keep support access available for unresolved high-severity orders.</x:v>
      </x:c>
      <x:c r="Y14" s="6" t="str">
        <x:v>Yes</x:v>
      </x:c>
      <x:c r="Z14" s="6" t="str">
        <x:v>Relative publication timing shown as three months ago.</x:v>
      </x:c>
    </x:row>
    <x:row r="15" ht="66" customHeight="1">
      <x:c r="A15" s="6" t="str">
        <x:v>AMZ-0014</x:v>
      </x:c>
      <x:c r="B15" s="6" t="str">
        <x:v>Amazon India</x:v>
      </x:c>
      <x:c r="C15" s="6" t="str">
        <x:v>Reddit</x:v>
      </x:c>
      <x:c r="D15" s="6" t="str">
        <x:v>India</x:v>
      </x:c>
      <x:c r="E15" s="6" t="str">
        <x:v>Community post</x:v>
      </x:c>
      <x:c r="F15" s="6" t="str">
        <x:v>Reddit r/amazonindia</x:v>
      </x:c>
      <x:c r="G15" s="6" t="str">
        <x:v>https://www.reddit.com/r/amazonindia/comments/1uxvpsy/amazon_scamming_indians_by_purposely_giving_lesser_refund/</x:v>
      </x:c>
      <x:c r="H15" s="6" t="str"/>
      <x:c r="I15" s="6" t="str">
        <x:v>2026-08-09</x:v>
      </x:c>
      <x:c r="J15" s="6" t="str"/>
      <x:c r="K15" s="6" t="str">
        <x:v>Partial refund after damaged delivery</x:v>
      </x:c>
      <x:c r="L15" s="6" t="str">
        <x:v>Post alleges a broken item and a refund reduced by a processing fee after an open-box delivery.</x:v>
      </x:c>
      <x:c r="M15" s="6" t="str">
        <x:v>English</x:v>
      </x:c>
      <x:c r="N15" s="6" t="str">
        <x:v>Returns</x:v>
      </x:c>
      <x:c r="O15" s="6" t="str">
        <x:v>Refunds and returns</x:v>
      </x:c>
      <x:c r="P15" s="6" t="str">
        <x:v>Refund deduction</x:v>
      </x:c>
      <x:c r="Q15" s="6" t="str">
        <x:v>Negative</x:v>
      </x:c>
      <x:c r="R15" s="6" t="str">
        <x:v>High</x:v>
      </x:c>
      <x:c r="S15" s="6" t="str">
        <x:v>Opinion and account narrative</x:v>
      </x:c>
      <x:c r="T15" s="6" t="str">
        <x:v>Policy/support</x:v>
      </x:c>
      <x:c r="U15" s="6" t="str">
        <x:v>High-value buyer</x:v>
      </x:c>
      <x:c r="V15" s="6" t="str">
        <x:v>Electronics</x:v>
      </x:c>
      <x:c r="W15" s="6" t="str">
        <x:v>Financial loss and fairness concern</x:v>
      </x:c>
      <x:c r="X15" s="6" t="str">
        <x:v>Show refund calculation and dispute path before completion.</x:v>
      </x:c>
      <x:c r="Y15" s="6" t="str">
        <x:v>Yes</x:v>
      </x:c>
      <x:c r="Z15" s="6" t="str">
        <x:v>Relative publication timing shown as three weeks ago.</x:v>
      </x:c>
    </x:row>
    <x:row r="16" ht="66" customHeight="1">
      <x:c r="A16" s="6" t="str">
        <x:v>AMZ-0015</x:v>
      </x:c>
      <x:c r="B16" s="6" t="str">
        <x:v>Amazon India</x:v>
      </x:c>
      <x:c r="C16" s="6" t="str">
        <x:v>Reddit</x:v>
      </x:c>
      <x:c r="D16" s="6" t="str">
        <x:v>India</x:v>
      </x:c>
      <x:c r="E16" s="6" t="str">
        <x:v>Community post</x:v>
      </x:c>
      <x:c r="F16" s="6" t="str">
        <x:v>Reddit r/amazonindia</x:v>
      </x:c>
      <x:c r="G16" s="6" t="str">
        <x:v>https://www.reddit.com/r/amazonindia/comments/1u66l1r/amazon_india_support_gave_me_4_different_answers_for_the_same_return/</x:v>
      </x:c>
      <x:c r="H16" s="6" t="str"/>
      <x:c r="I16" s="6" t="str">
        <x:v>2026-08-09</x:v>
      </x:c>
      <x:c r="J16" s="6" t="str"/>
      <x:c r="K16" s="6" t="str">
        <x:v>Inconsistent return answers</x:v>
      </x:c>
      <x:c r="L16" s="6" t="str">
        <x:v>Post describes conflicting support instructions about self-return, refund eligibility, and parcel status.</x:v>
      </x:c>
      <x:c r="M16" s="6" t="str">
        <x:v>English</x:v>
      </x:c>
      <x:c r="N16" s="6" t="str">
        <x:v>Returns</x:v>
      </x:c>
      <x:c r="O16" s="6" t="str">
        <x:v>Refunds and returns</x:v>
      </x:c>
      <x:c r="P16" s="6" t="str">
        <x:v>Policy consistency</x:v>
      </x:c>
      <x:c r="Q16" s="6" t="str">
        <x:v>Negative</x:v>
      </x:c>
      <x:c r="R16" s="6" t="str">
        <x:v>High</x:v>
      </x:c>
      <x:c r="S16" s="6" t="str">
        <x:v>Opinion and account narrative</x:v>
      </x:c>
      <x:c r="T16" s="6" t="str">
        <x:v>Policy/support</x:v>
      </x:c>
      <x:c r="U16" s="6" t="str">
        <x:v>Remote-area buyer</x:v>
      </x:c>
      <x:c r="V16" s="6" t="str">
        <x:v>General merchandise</x:v>
      </x:c>
      <x:c r="W16" s="6" t="str">
        <x:v>Repeated contacts and delayed resolution</x:v>
      </x:c>
      <x:c r="X16" s="6" t="str">
        <x:v>Give agents and users one visible case policy and next action.</x:v>
      </x:c>
      <x:c r="Y16" s="6" t="str">
        <x:v>Yes</x:v>
      </x:c>
      <x:c r="Z16" s="6" t="str">
        <x:v>Relative publication timing shown as three weeks ago.</x:v>
      </x:c>
    </x:row>
    <x:row r="17" ht="66" customHeight="1">
      <x:c r="A17" s="6" t="str">
        <x:v>AMZ-0016</x:v>
      </x:c>
      <x:c r="B17" s="6" t="str">
        <x:v>Amazon India</x:v>
      </x:c>
      <x:c r="C17" s="6" t="str">
        <x:v>Reddit</x:v>
      </x:c>
      <x:c r="D17" s="6" t="str">
        <x:v>India</x:v>
      </x:c>
      <x:c r="E17" s="6" t="str">
        <x:v>Community post</x:v>
      </x:c>
      <x:c r="F17" s="6" t="str">
        <x:v>Reddit r/amazonindia</x:v>
      </x:c>
      <x:c r="G17" s="6" t="str">
        <x:v>https://www.reddit.com/r/amazonindia/comments/1s36pbv/the_era_of_customerfirst_ecommerce_in_india_is_over/</x:v>
      </x:c>
      <x:c r="H17" s="6" t="str"/>
      <x:c r="I17" s="6" t="str">
        <x:v>2026-08-09</x:v>
      </x:c>
      <x:c r="J17" s="6" t="str"/>
      <x:c r="K17" s="6" t="str">
        <x:v>Declining customer-first perception</x:v>
      </x:c>
      <x:c r="L17" s="6" t="str">
        <x:v>Discussion says Amazon no longer feels as customer-first as before and links the change to delivery, returns, and trust concerns.</x:v>
      </x:c>
      <x:c r="M17" s="6" t="str">
        <x:v>English</x:v>
      </x:c>
      <x:c r="N17" s="6" t="str">
        <x:v>Multiple</x:v>
      </x:c>
      <x:c r="O17" s="6" t="str">
        <x:v>Trust and loyalty</x:v>
      </x:c>
      <x:c r="P17" s="6" t="str">
        <x:v>Brand promise</x:v>
      </x:c>
      <x:c r="Q17" s="6" t="str">
        <x:v>Negative</x:v>
      </x:c>
      <x:c r="R17" s="6" t="str">
        <x:v>Medium</x:v>
      </x:c>
      <x:c r="S17" s="6" t="str">
        <x:v>Opinion and discussion</x:v>
      </x:c>
      <x:c r="T17" s="6" t="str">
        <x:v>Strategy/support</x:v>
      </x:c>
      <x:c r="U17" s="6" t="str">
        <x:v>Long-term customer</x:v>
      </x:c>
      <x:c r="V17" s="6" t="str">
        <x:v>General merchandise</x:v>
      </x:c>
      <x:c r="W17" s="6" t="str">
        <x:v>Advocacy and retention risk</x:v>
      </x:c>
      <x:c r="X17" s="6" t="str">
        <x:v>Measure trust recovery after resolution, not only refund completion.</x:v>
      </x:c>
      <x:c r="Y17" s="6" t="str">
        <x:v>Yes</x:v>
      </x:c>
      <x:c r="Z17" s="6" t="str">
        <x:v>Older discussion used as contextual evidence.</x:v>
      </x:c>
    </x:row>
    <x:row r="18" ht="66" customHeight="1">
      <x:c r="A18" s="6" t="str">
        <x:v>AMZ-0017</x:v>
      </x:c>
      <x:c r="B18" s="6" t="str">
        <x:v>Amazon India</x:v>
      </x:c>
      <x:c r="C18" s="6" t="str">
        <x:v>Reddit</x:v>
      </x:c>
      <x:c r="D18" s="6" t="str">
        <x:v>India</x:v>
      </x:c>
      <x:c r="E18" s="6" t="str">
        <x:v>Community post</x:v>
      </x:c>
      <x:c r="F18" s="6" t="str">
        <x:v>Reddit r/IndiaTech</x:v>
      </x:c>
      <x:c r="G18" s="6" t="str">
        <x:v>https://www.reddit.com/r/IndiaTech/comments/1uujci6/amazon_has_the_worst_ux_out_of_any_shopping_app/</x:v>
      </x:c>
      <x:c r="H18" s="6" t="str"/>
      <x:c r="I18" s="6" t="str">
        <x:v>2026-08-09</x:v>
      </x:c>
      <x:c r="J18" s="6" t="str"/>
      <x:c r="K18" s="6" t="str">
        <x:v>UX and returns discussion</x:v>
      </x:c>
      <x:c r="L18" s="6" t="str">
        <x:v>Discussion criticizes Amazon India UX and returns while acknowledging that user preference varies by category and experience.</x:v>
      </x:c>
      <x:c r="M18" s="6" t="str">
        <x:v>English</x:v>
      </x:c>
      <x:c r="N18" s="6" t="str">
        <x:v>Discovery</x:v>
      </x:c>
      <x:c r="O18" s="6" t="str">
        <x:v>Search and browse</x:v>
      </x:c>
      <x:c r="P18" s="6" t="str">
        <x:v>Perceived friction</x:v>
      </x:c>
      <x:c r="Q18" s="6" t="str">
        <x:v>Negative</x:v>
      </x:c>
      <x:c r="R18" s="6" t="str">
        <x:v>Medium</x:v>
      </x:c>
      <x:c r="S18" s="6" t="str">
        <x:v>Opinion and discussion</x:v>
      </x:c>
      <x:c r="T18" s="6" t="str">
        <x:v>App/product</x:v>
      </x:c>
      <x:c r="U18" s="6" t="str">
        <x:v>Experienced shopper</x:v>
      </x:c>
      <x:c r="V18" s="6" t="str">
        <x:v>General merchandise</x:v>
      </x:c>
      <x:c r="W18" s="6" t="str">
        <x:v>Consideration and preference risk</x:v>
      </x:c>
      <x:c r="X18" s="6" t="str">
        <x:v>Validate with task-based usability testing.</x:v>
      </x:c>
      <x:c r="Y18" s="6" t="str">
        <x:v>Yes</x:v>
      </x:c>
      <x:c r="Z18" s="6" t="str">
        <x:v>Relative publication timing shown as three weeks ago.</x:v>
      </x:c>
    </x:row>
    <x:row r="19" ht="66" customHeight="1">
      <x:c r="A19" s="6" t="str">
        <x:v>AMZ-0018</x:v>
      </x:c>
      <x:c r="B19" s="6" t="str">
        <x:v>Amazon India</x:v>
      </x:c>
      <x:c r="C19" s="6" t="str">
        <x:v>Trustpilot</x:v>
      </x:c>
      <x:c r="D19" s="6" t="str">
        <x:v>India</x:v>
      </x:c>
      <x:c r="E19" s="6" t="str">
        <x:v>Review platform</x:v>
      </x:c>
      <x:c r="F19" s="6" t="str">
        <x:v>Trustpilot</x:v>
      </x:c>
      <x:c r="G19" s="6" t="str">
        <x:v>https://www.trustpilot.com/review/amazon.in</x:v>
      </x:c>
      <x:c r="H19" s="6" t="str"/>
      <x:c r="I19" s="6" t="str">
        <x:v>2026-08-09</x:v>
      </x:c>
      <x:c r="J19" s="6" t="str"/>
      <x:c r="K19" s="6" t="str">
        <x:v>Missing order and customer service</x:v>
      </x:c>
      <x:c r="L19" s="6" t="str">
        <x:v>Public reviews describe missing orders, circular contact paths, and delivery-status discrepancies.</x:v>
      </x:c>
      <x:c r="M19" s="6" t="str">
        <x:v>English</x:v>
      </x:c>
      <x:c r="N19" s="6" t="str">
        <x:v>Post-purchase</x:v>
      </x:c>
      <x:c r="O19" s="6" t="str">
        <x:v>Support access and consistency</x:v>
      </x:c>
      <x:c r="P19" s="6" t="str">
        <x:v>Escalation friction</x:v>
      </x:c>
      <x:c r="Q19" s="6" t="str">
        <x:v>Negative</x:v>
      </x:c>
      <x:c r="R19" s="6" t="str">
        <x:v>High</x:v>
      </x:c>
      <x:c r="S19" s="6" t="str">
        <x:v>Opinion and account narrative</x:v>
      </x:c>
      <x:c r="T19" s="6" t="str">
        <x:v>Service/support</x:v>
      </x:c>
      <x:c r="U19" s="6" t="str">
        <x:v>General buyer</x:v>
      </x:c>
      <x:c r="V19" s="6" t="str">
        <x:v>General merchandise</x:v>
      </x:c>
      <x:c r="W19" s="6" t="str">
        <x:v>Trust and support cost</x:v>
      </x:c>
      <x:c r="X19" s="6" t="str">
        <x:v>Provide clear case ownership and escalation state.</x:v>
      </x:c>
      <x:c r="Y19" s="6" t="str">
        <x:v>Yes</x:v>
      </x:c>
      <x:c r="Z19" s="6" t="str">
        <x:v>Service-level review platform; not app-specific.</x:v>
      </x:c>
    </x:row>
    <x:row r="20" ht="66" customHeight="1">
      <x:c r="A20" s="6" t="str">
        <x:v>AMZ-0019</x:v>
      </x:c>
      <x:c r="B20" s="6" t="str">
        <x:v>Amazon India</x:v>
      </x:c>
      <x:c r="C20" s="6" t="str">
        <x:v>Reviews.io</x:v>
      </x:c>
      <x:c r="D20" s="6" t="str">
        <x:v>India</x:v>
      </x:c>
      <x:c r="E20" s="6" t="str">
        <x:v>Review platform</x:v>
      </x:c>
      <x:c r="F20" s="6" t="str">
        <x:v>Reviews.io</x:v>
      </x:c>
      <x:c r="G20" s="6" t="str">
        <x:v>https://www.reviews.io/company-reviews/store/amazon-india/insights/refund</x:v>
      </x:c>
      <x:c r="H20" s="6" t="str"/>
      <x:c r="I20" s="6" t="str">
        <x:v>2026-08-09</x:v>
      </x:c>
      <x:c r="J20" s="6" t="str"/>
      <x:c r="K20" s="6" t="str">
        <x:v>Refund timing</x:v>
      </x:c>
      <x:c r="L20" s="6" t="str">
        <x:v>Public review snippets describe automatic cancellation and refunds that remain pending or show as complete before money is received.</x:v>
      </x:c>
      <x:c r="M20" s="6" t="str">
        <x:v>English</x:v>
      </x:c>
      <x:c r="N20" s="6" t="str">
        <x:v>Returns</x:v>
      </x:c>
      <x:c r="O20" s="6" t="str">
        <x:v>Refunds and returns</x:v>
      </x:c>
      <x:c r="P20" s="6" t="str">
        <x:v>Refund status accuracy</x:v>
      </x:c>
      <x:c r="Q20" s="6" t="str">
        <x:v>Negative</x:v>
      </x:c>
      <x:c r="R20" s="6" t="str">
        <x:v>High</x:v>
      </x:c>
      <x:c r="S20" s="6" t="str">
        <x:v>Opinion and account narrative</x:v>
      </x:c>
      <x:c r="T20" s="6" t="str">
        <x:v>Payments/support</x:v>
      </x:c>
      <x:c r="U20" s="6" t="str">
        <x:v>General buyer</x:v>
      </x:c>
      <x:c r="V20" s="6" t="str">
        <x:v>General merchandise</x:v>
      </x:c>
      <x:c r="W20" s="6" t="str">
        <x:v>Financial anxiety and repeat contacts</x:v>
      </x:c>
      <x:c r="X20" s="6" t="str">
        <x:v>Show bank-side settlement status and expected date.</x:v>
      </x:c>
      <x:c r="Y20" s="6" t="str">
        <x:v>Yes</x:v>
      </x:c>
      <x:c r="Z20" s="6" t="str">
        <x:v>Service-level review platform; validate against payment data.</x:v>
      </x:c>
    </x:row>
    <x:row r="21" ht="66" customHeight="1">
      <x:c r="A21" s="6" t="str">
        <x:v>AMZ-0020</x:v>
      </x:c>
      <x:c r="B21" s="6" t="str">
        <x:v>Amazon India</x:v>
      </x:c>
      <x:c r="C21" s="6" t="str">
        <x:v>Android</x:v>
      </x:c>
      <x:c r="D21" s="6" t="str">
        <x:v>India</x:v>
      </x:c>
      <x:c r="E21" s="6" t="str">
        <x:v>Third-party review aggregation</x:v>
      </x:c>
      <x:c r="F21" s="6" t="str">
        <x:v>Chrome-Stats</x:v>
      </x:c>
      <x:c r="G21" s="6" t="str">
        <x:v>https://chrome-stats.com/d/in.amazon.mShop.android.shopping/reviews</x:v>
      </x:c>
      <x:c r="H21" s="6" t="str"/>
      <x:c r="I21" s="6" t="str">
        <x:v>2026-08-09</x:v>
      </x:c>
      <x:c r="J21" s="6" t="str"/>
      <x:c r="K21" s="6" t="str">
        <x:v>Positive usability summary</x:v>
      </x:c>
      <x:c r="L21" s="6" t="str">
        <x:v>Aggregator reports many users describe the app as useful and easy to use and praise product quality and convenience.</x:v>
      </x:c>
      <x:c r="M21" s="6" t="str">
        <x:v>English</x:v>
      </x:c>
      <x:c r="N21" s="6" t="str">
        <x:v>Discovery</x:v>
      </x:c>
      <x:c r="O21" s="6" t="str">
        <x:v>Convenience and selection</x:v>
      </x:c>
      <x:c r="P21" s="6" t="str">
        <x:v>Core value</x:v>
      </x:c>
      <x:c r="Q21" s="6" t="str">
        <x:v>Positive</x:v>
      </x:c>
      <x:c r="R21" s="6" t="str">
        <x:v>Low</x:v>
      </x:c>
      <x:c r="S21" s="6" t="str">
        <x:v>Aggregated secondary summary</x:v>
      </x:c>
      <x:c r="T21" s="6" t="str">
        <x:v>App/product</x:v>
      </x:c>
      <x:c r="U21" s="6" t="str">
        <x:v>Multiple segments</x:v>
      </x:c>
      <x:c r="V21" s="6" t="str">
        <x:v>Multiple categories</x:v>
      </x:c>
      <x:c r="W21" s="6" t="str">
        <x:v>Retention and repeat-use signal</x:v>
      </x:c>
      <x:c r="X21" s="6" t="str">
        <x:v>Protect core convenience while fixing exception journeys.</x:v>
      </x:c>
      <x:c r="Y21" s="6" t="str">
        <x:v>Yes</x:v>
      </x:c>
      <x:c r="Z21" s="6" t="str">
        <x:v>Not treated as a raw individual review.</x:v>
      </x:c>
    </x:row>
    <x:row r="22" ht="66" customHeight="1">
      <x:c r="A22" s="6" t="str">
        <x:v>AMZ-0021</x:v>
      </x:c>
      <x:c r="B22" s="6" t="str">
        <x:v>Amazon India</x:v>
      </x:c>
      <x:c r="C22" s="6" t="str">
        <x:v>Android</x:v>
      </x:c>
      <x:c r="D22" s="6" t="str">
        <x:v>India</x:v>
      </x:c>
      <x:c r="E22" s="6" t="str">
        <x:v>Third-party review aggregation</x:v>
      </x:c>
      <x:c r="F22" s="6" t="str">
        <x:v>Chrome-Stats</x:v>
      </x:c>
      <x:c r="G22" s="6" t="str">
        <x:v>https://chrome-stats.com/d/in.amazon.mShop.android.shopping/reviews</x:v>
      </x:c>
      <x:c r="H22" s="6" t="str"/>
      <x:c r="I22" s="6" t="str">
        <x:v>2026-08-09</x:v>
      </x:c>
      <x:c r="J22" s="6" t="str"/>
      <x:c r="K22" s="6" t="str">
        <x:v>Negative theme summary</x:v>
      </x:c>
      <x:c r="L22" s="6" t="str">
        <x:v>Aggregator identifies undelivered orders, refund issues, incorrect deliveries, app failures, and inconsistent support as recurring negative themes.</x:v>
      </x:c>
      <x:c r="M22" s="6" t="str">
        <x:v>English</x:v>
      </x:c>
      <x:c r="N22" s="6" t="str">
        <x:v>Multiple</x:v>
      </x:c>
      <x:c r="O22" s="6" t="str">
        <x:v>Delivery reliability</x:v>
      </x:c>
      <x:c r="P22" s="6" t="str">
        <x:v>Aggregate themes</x:v>
      </x:c>
      <x:c r="Q22" s="6" t="str">
        <x:v>Negative</x:v>
      </x:c>
      <x:c r="R22" s="6" t="str">
        <x:v>High</x:v>
      </x:c>
      <x:c r="S22" s="6" t="str">
        <x:v>Aggregated secondary summary</x:v>
      </x:c>
      <x:c r="T22" s="6" t="str">
        <x:v>Unknown</x:v>
      </x:c>
      <x:c r="U22" s="6" t="str">
        <x:v>Multiple segments</x:v>
      </x:c>
      <x:c r="V22" s="6" t="str">
        <x:v>Multiple categories</x:v>
      </x:c>
      <x:c r="W22" s="6" t="str">
        <x:v>Directional prioritization signal</x:v>
      </x:c>
      <x:c r="X22" s="6" t="str">
        <x:v>Validate with primary review coding and internal metrics.</x:v>
      </x:c>
      <x:c r="Y22" s="6" t="str">
        <x:v>Yes</x:v>
      </x:c>
      <x:c r="Z22" s="6" t="str">
        <x:v>Not treated as a raw individual review.</x:v>
      </x:c>
    </x:row>
    <x:row r="23" ht="66" customHeight="1">
      <x:c r="A23" s="6" t="str">
        <x:v>AMZ-0022</x:v>
      </x:c>
      <x:c r="B23" s="6" t="str">
        <x:v>Amazon India</x:v>
      </x:c>
      <x:c r="C23" s="6" t="str">
        <x:v>iOS App Store</x:v>
      </x:c>
      <x:c r="D23" s="6" t="str">
        <x:v>India</x:v>
      </x:c>
      <x:c r="E23" s="6" t="str">
        <x:v>App Store listing</x:v>
      </x:c>
      <x:c r="F23" s="6" t="str">
        <x:v>Apple App Store</x:v>
      </x:c>
      <x:c r="G23" s="6" t="str">
        <x:v>https://apps.apple.com/in/app/amazon-india-shop-pay-minitv/id1478350915</x:v>
      </x:c>
      <x:c r="H23" s="6" t="str"/>
      <x:c r="I23" s="6" t="str">
        <x:v>2026-08-09</x:v>
      </x:c>
      <x:c r="J23" s="6" t="str"/>
      <x:c r="K23" s="6" t="str">
        <x:v>Feature promise</x:v>
      </x:c>
      <x:c r="L23" s="6" t="str">
        <x:v>Official listing promises faster refunds, easy returns, order tracking, COD, Amazon Pay/UPI, and 24x7 support.</x:v>
      </x:c>
      <x:c r="M23" s="6" t="str">
        <x:v>English</x:v>
      </x:c>
      <x:c r="N23" s="6" t="str">
        <x:v>Multiple</x:v>
      </x:c>
      <x:c r="O23" s="6" t="str">
        <x:v>Convenience and selection</x:v>
      </x:c>
      <x:c r="P23" s="6" t="str">
        <x:v>Promise versus experience</x:v>
      </x:c>
      <x:c r="Q23" s="6" t="str">
        <x:v>Positive</x:v>
      </x:c>
      <x:c r="R23" s="6" t="str">
        <x:v>Low</x:v>
      </x:c>
      <x:c r="S23" s="6" t="str">
        <x:v>Product documentation</x:v>
      </x:c>
      <x:c r="T23" s="6" t="str">
        <x:v>App/product</x:v>
      </x:c>
      <x:c r="U23" s="6" t="str">
        <x:v>Multiple segments</x:v>
      </x:c>
      <x:c r="V23" s="6" t="str">
        <x:v>Multiple categories</x:v>
      </x:c>
      <x:c r="W23" s="6" t="str">
        <x:v>Expectation gap if experience diverges</x:v>
      </x:c>
      <x:c r="X23" s="6" t="str">
        <x:v>Track promise-to-experience gaps as a product metric.</x:v>
      </x:c>
      <x:c r="Y23" s="6" t="str">
        <x:v>Yes</x:v>
      </x:c>
      <x:c r="Z23" s="6" t="str">
        <x:v>Capability description used only for journey context.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6" hidden="0" customWidth="1"/>
  </x:cols>
  <x:sheetData>
    <x:row r="1" ht="28" customHeight="1">
      <x:c r="A1" s="66" t="str">
        <x:v>Stage 1 — Theme Analysis</x:v>
      </x:c>
      <x:c r="B1" s="67"/>
    </x:row>
    <x:row r="2" ht="30" customHeight="1">
      <x:c r="A2" s="68" t="str">
        <x:v>Amazon India | Formula-driven counts from the coded public sample</x:v>
      </x:c>
      <x:c r="B2" s="67"/>
    </x:row>
    <x:row r="3">
      <x:c r="A3" s="67"/>
      <x:c r="B3" s="67"/>
    </x:row>
    <x:row r="4">
      <x:c r="A4" s="69" t="str">
        <x:v>Metric</x:v>
      </x:c>
      <x:c r="B4" s="70" t="str">
        <x:v>Value</x:v>
      </x:c>
    </x:row>
    <x:row r="5">
      <x:c r="A5" s="71" t="str">
        <x:v>Records in sample</x:v>
      </x:c>
      <x:c r="B5" s="71" t="n">
        <x:f>COUNTA('Raw sample'!$A$2:$A$23)</x:f>
        <x:v>22</x:v>
      </x:c>
    </x:row>
    <x:row r="6">
      <x:c r="A6" s="72" t="str">
        <x:v>Negative records</x:v>
      </x:c>
      <x:c r="B6" s="72" t="n">
        <x:f>COUNTIF('Raw sample'!$Q$2:$Q$23,"Negative")</x:f>
        <x:v>17</x:v>
      </x:c>
    </x:row>
    <x:row r="7">
      <x:c r="A7" s="72" t="str">
        <x:v>Positive records</x:v>
      </x:c>
      <x:c r="B7" s="72" t="n">
        <x:f>COUNTIF('Raw sample'!$Q$2:$Q$23,"Positive")</x:f>
        <x:v>4</x:v>
      </x:c>
    </x:row>
    <x:row r="8">
      <x:c r="A8" s="72" t="str">
        <x:v>Critical records</x:v>
      </x:c>
      <x:c r="B8" s="72" t="n">
        <x:f>COUNTIF('Raw sample'!$R$2:$R$23,"Critical")</x:f>
        <x:v>3</x:v>
      </x:c>
    </x:row>
    <x:row r="9">
      <x:c r="A9" s="72" t="str">
        <x:v>High-severity records</x:v>
      </x:c>
      <x:c r="B9" s="72" t="n">
        <x:f>COUNTIF('Raw sample'!$R$2:$R$23,"High")</x:f>
        <x:v>13</x:v>
      </x:c>
    </x:row>
    <x:row r="10">
      <x:c r="A10" s="73" t="str">
        <x:v>Sample limitation</x:v>
      </x:c>
      <x:c r="B10" s="73" t="str">
        <x:v>22 accessible records versus 380 planned; directional only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4" hidden="0" customWidth="1"/>
    <x:col min="3" max="3" width="12" hidden="0" customWidth="1"/>
    <x:col min="4" max="4" width="18" hidden="0" customWidth="1"/>
    <x:col min="5" max="5" width="16" hidden="0" customWidth="1"/>
    <x:col min="6" max="6" width="18" hidden="0" customWidth="1"/>
    <x:col min="7" max="7" width="34" hidden="0" customWidth="1"/>
  </x:cols>
  <x:sheetData>
    <x:row r="1" ht="28" customHeight="1">
      <x:c r="A1" s="66" t="str">
        <x:v>Theme Analysis</x:v>
      </x:c>
      <x:c r="B1" s="67"/>
      <x:c r="C1" s="67"/>
      <x:c r="D1" s="67"/>
      <x:c r="E1" s="67"/>
      <x:c r="F1" s="67"/>
      <x:c r="G1" s="67"/>
    </x:row>
    <x:row r="2" ht="30" customHeight="1">
      <x:c r="A2" s="68" t="str">
        <x:v>Counts use controlled primary themes; subthemes preserve additional detail.</x:v>
      </x:c>
      <x:c r="B2" s="67"/>
      <x:c r="C2" s="67"/>
      <x:c r="D2" s="67"/>
      <x:c r="E2" s="67"/>
      <x:c r="F2" s="67"/>
      <x:c r="G2" s="67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Theme</x:v>
      </x:c>
      <x:c r="B4" s="82" t="str">
        <x:v>Definition</x:v>
      </x:c>
      <x:c r="C4" s="82" t="str">
        <x:v>Count</x:v>
      </x:c>
      <x:c r="D4" s="82" t="str">
        <x:v>Sample prevalence</x:v>
      </x:c>
      <x:c r="E4" s="82" t="str">
        <x:v>Negative count</x:v>
      </x:c>
      <x:c r="F4" s="82" t="str">
        <x:v>Severity signal</x:v>
      </x:c>
      <x:c r="G4" s="70" t="str">
        <x:v>Priority interpretation</x:v>
      </x:c>
    </x:row>
    <x:row r="5">
      <x:c r="A5" s="71" t="str">
        <x:v>Delivery reliability</x:v>
      </x:c>
      <x:c r="B5" s="71" t="str">
        <x:v>Delivered/not received, cancellation, tracking, contactability</x:v>
      </x:c>
      <x:c r="C5" s="71" t="n">
        <x:f>COUNTIF('Raw sample'!$O$2:$O$23,A5)</x:f>
        <x:v>7</x:v>
      </x:c>
      <x:c r="D5" s="83" t="n">
        <x:f>C5/COUNTA('Raw sample'!$A$2:$A$23)</x:f>
        <x:v>0.3181818181818182</x:v>
      </x:c>
      <x:c r="E5" s="71" t="n">
        <x:f>COUNTIFS('Raw sample'!$O$2:$O$23,A5,'Raw sample'!$Q$2:$Q$23,"Negative")</x:f>
        <x:v>6</x:v>
      </x:c>
      <x:c r="F5" s="71" t="str">
        <x:v>Critical/High</x:v>
      </x:c>
      <x:c r="G5" s="71" t="str">
        <x:v>Primary opportunity area</x:v>
      </x:c>
    </x:row>
    <x:row r="6">
      <x:c r="A6" s="72" t="str">
        <x:v>Support access and consistency</x:v>
      </x:c>
      <x:c r="B6" s="72" t="str">
        <x:v>No owner, repeated contacts, conflicting answers, unavailable channel</x:v>
      </x:c>
      <x:c r="C6" s="72" t="n">
        <x:f>COUNTIF('Raw sample'!$O$2:$O$23,A6)</x:f>
        <x:v>4</x:v>
      </x:c>
      <x:c r="D6" s="84" t="n">
        <x:f>C6/COUNTA('Raw sample'!$A$2:$A$23)</x:f>
        <x:v>0.18181818181818182</x:v>
      </x:c>
      <x:c r="E6" s="72" t="n">
        <x:f>COUNTIFS('Raw sample'!$O$2:$O$23,A6,'Raw sample'!$Q$2:$Q$23,"Negative")</x:f>
        <x:v>4</x:v>
      </x:c>
      <x:c r="F6" s="72" t="str">
        <x:v>High/Critical</x:v>
      </x:c>
      <x:c r="G6" s="72" t="str">
        <x:v>Cross-cutting trust and cost driver</x:v>
      </x:c>
    </x:row>
    <x:row r="7">
      <x:c r="A7" s="72" t="str">
        <x:v>Refunds and returns</x:v>
      </x:c>
      <x:c r="B7" s="72" t="str">
        <x:v>Refund timing, deductions, eligibility, policy consistency</x:v>
      </x:c>
      <x:c r="C7" s="72" t="n">
        <x:f>COUNTIF('Raw sample'!$O$2:$O$23,A7)</x:f>
        <x:v>3</x:v>
      </x:c>
      <x:c r="D7" s="84" t="n">
        <x:f>C7/COUNTA('Raw sample'!$A$2:$A$23)</x:f>
        <x:v>0.13636363636363635</x:v>
      </x:c>
      <x:c r="E7" s="72" t="n">
        <x:f>COUNTIFS('Raw sample'!$O$2:$O$23,A7,'Raw sample'!$Q$2:$Q$23,"Negative")</x:f>
        <x:v>3</x:v>
      </x:c>
      <x:c r="F7" s="72" t="str">
        <x:v>High</x:v>
      </x:c>
      <x:c r="G7" s="72" t="str">
        <x:v>Financial and fairness risk</x:v>
      </x:c>
    </x:row>
    <x:row r="8">
      <x:c r="A8" s="72" t="str">
        <x:v>Search and browse</x:v>
      </x:c>
      <x:c r="B8" s="72" t="str">
        <x:v>Sort, filter, comparison, discovery UX</x:v>
      </x:c>
      <x:c r="C8" s="72" t="n">
        <x:f>COUNTIF('Raw sample'!$O$2:$O$23,A8)</x:f>
        <x:v>2</x:v>
      </x:c>
      <x:c r="D8" s="84" t="n">
        <x:f>C8/COUNTA('Raw sample'!$A$2:$A$23)</x:f>
        <x:v>0.09090909090909091</x:v>
      </x:c>
      <x:c r="E8" s="72" t="n">
        <x:f>COUNTIFS('Raw sample'!$O$2:$O$23,A8,'Raw sample'!$Q$2:$Q$23,"Negative")</x:f>
        <x:v>2</x:v>
      </x:c>
      <x:c r="F8" s="72" t="str">
        <x:v>High</x:v>
      </x:c>
      <x:c r="G8" s="72" t="str">
        <x:v>Backup product opportunity</x:v>
      </x:c>
    </x:row>
    <x:row r="9">
      <x:c r="A9" s="72" t="str">
        <x:v>App stability</x:v>
      </x:c>
      <x:c r="B9" s="72" t="str">
        <x:v>Crash, loading, compatibility, update issues</x:v>
      </x:c>
      <x:c r="C9" s="72" t="n">
        <x:f>COUNTIF('Raw sample'!$O$2:$O$23,A9)</x:f>
        <x:v>1</x:v>
      </x:c>
      <x:c r="D9" s="84" t="n">
        <x:f>C9/COUNTA('Raw sample'!$A$2:$A$23)</x:f>
        <x:v>0.045454545454545456</x:v>
      </x:c>
      <x:c r="E9" s="72" t="n">
        <x:f>COUNTIFS('Raw sample'!$O$2:$O$23,A9,'Raw sample'!$Q$2:$Q$23,"Negative")</x:f>
        <x:v>1</x:v>
      </x:c>
      <x:c r="F9" s="72" t="str">
        <x:v>High</x:v>
      </x:c>
      <x:c r="G9" s="72" t="str">
        <x:v>Validate with telemetry</x:v>
      </x:c>
    </x:row>
    <x:row r="10">
      <x:c r="A10" s="72" t="str">
        <x:v>Trust and loyalty</x:v>
      </x:c>
      <x:c r="B10" s="72" t="str">
        <x:v>Brand promise, Prime value, repeat-use confidence</x:v>
      </x:c>
      <x:c r="C10" s="72" t="n">
        <x:f>COUNTIF('Raw sample'!$O$2:$O$23,A10)</x:f>
        <x:v>1</x:v>
      </x:c>
      <x:c r="D10" s="84" t="n">
        <x:f>C10/COUNTA('Raw sample'!$A$2:$A$23)</x:f>
        <x:v>0.045454545454545456</x:v>
      </x:c>
      <x:c r="E10" s="72" t="n">
        <x:f>COUNTIFS('Raw sample'!$O$2:$O$23,A10,'Raw sample'!$Q$2:$Q$23,"Negative")</x:f>
        <x:v>1</x:v>
      </x:c>
      <x:c r="F10" s="72" t="str">
        <x:v>High</x:v>
      </x:c>
      <x:c r="G10" s="72" t="str">
        <x:v>Retention lens</x:v>
      </x:c>
    </x:row>
    <x:row r="11">
      <x:c r="A11" s="72" t="str">
        <x:v>Convenience and selection</x:v>
      </x:c>
      <x:c r="B11" s="72" t="str">
        <x:v>Breadth, ease, payment choice, usability</x:v>
      </x:c>
      <x:c r="C11" s="72" t="n">
        <x:f>COUNTIF('Raw sample'!$O$2:$O$23,A11)</x:f>
        <x:v>4</x:v>
      </x:c>
      <x:c r="D11" s="84" t="n">
        <x:f>C11/COUNTA('Raw sample'!$A$2:$A$23)</x:f>
        <x:v>0.18181818181818182</x:v>
      </x:c>
      <x:c r="E11" s="72" t="n">
        <x:f>COUNTIFS('Raw sample'!$O$2:$O$23,A11,'Raw sample'!$Q$2:$Q$23,"Negative")</x:f>
        <x:v>0</x:v>
      </x:c>
      <x:c r="F11" s="72" t="str">
        <x:v>Low/Positive</x:v>
      </x:c>
      <x:c r="G11" s="72" t="str">
        <x:v>Strength to protect</x:v>
      </x:c>
    </x:row>
    <x:row r="12">
      <x:c r="A12" s="72" t="str">
        <x:v>Multiple/context</x:v>
      </x:c>
      <x:c r="B12" s="72" t="str">
        <x:v>Aggregate or cross-journey context</x:v>
      </x:c>
      <x:c r="C12" s="72" t="n">
        <x:f>COUNTIF('Raw sample'!$O$2:$O$23,A12)</x:f>
        <x:v>0</x:v>
      </x:c>
      <x:c r="D12" s="84" t="n">
        <x:f>C12/COUNTA('Raw sample'!$A$2:$A$23)</x:f>
        <x:v>0</x:v>
      </x:c>
      <x:c r="E12" s="72" t="n">
        <x:f>COUNTIFS('Raw sample'!$O$2:$O$23,A12,'Raw sample'!$Q$2:$Q$23,"Negative")</x:f>
        <x:v>0</x:v>
      </x:c>
      <x:c r="F12" s="72" t="str">
        <x:v>Low/Context</x:v>
      </x:c>
      <x:c r="G12" s="72" t="str">
        <x:v>Do not use as a standalone problem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8" hidden="0" customWidth="1"/>
    <x:col min="5" max="5" width="36" hidden="0" customWidth="1"/>
  </x:cols>
  <x:sheetData>
    <x:row r="1" ht="28" customHeight="1">
      <x:c r="A1" s="66" t="str">
        <x:v>Journey Stage Analysis</x:v>
      </x:c>
      <x:c r="B1" s="67"/>
      <x:c r="C1" s="67"/>
      <x:c r="D1" s="67"/>
      <x:c r="E1" s="67"/>
    </x:row>
    <x:row r="2" ht="30" customHeight="1">
      <x:c r="A2" s="68" t="str">
        <x:v>Counts and sentiment by journey stage.</x:v>
      </x:c>
      <x:c r="B2" s="67"/>
      <x:c r="C2" s="67"/>
      <x:c r="D2" s="67"/>
      <x:c r="E2" s="67"/>
    </x:row>
    <x:row r="3">
      <x:c r="A3" s="67"/>
      <x:c r="B3" s="67"/>
      <x:c r="C3" s="67"/>
      <x:c r="D3" s="67"/>
      <x:c r="E3" s="67"/>
    </x:row>
    <x:row r="4">
      <x:c r="A4" s="69" t="str">
        <x:v>Journey stage</x:v>
      </x:c>
      <x:c r="B4" s="82" t="str">
        <x:v>Definition</x:v>
      </x:c>
      <x:c r="C4" s="82" t="str">
        <x:v>Count</x:v>
      </x:c>
      <x:c r="D4" s="82" t="str">
        <x:v>Negative count</x:v>
      </x:c>
      <x:c r="E4" s="70" t="str">
        <x:v>Implication</x:v>
      </x:c>
    </x:row>
    <x:row r="5">
      <x:c r="A5" s="71" t="str">
        <x:v>Discovery</x:v>
      </x:c>
      <x:c r="B5" s="71" t="str">
        <x:v>Search, sort, filter, evaluate</x:v>
      </x:c>
      <x:c r="C5" s="71" t="n">
        <x:f>COUNTIF('Raw sample'!$N$2:$N$23,A5)</x:f>
        <x:v>3</x:v>
      </x:c>
      <x:c r="D5" s="71" t="n">
        <x:f>COUNTIFS('Raw sample'!$N$2:$N$23,A5,'Raw sample'!$Q$2:$Q$23,"Negative")</x:f>
        <x:v>2</x:v>
      </x:c>
      <x:c r="E5" s="71" t="str">
        <x:v>Validate discovery integrity</x:v>
      </x:c>
    </x:row>
    <x:row r="6">
      <x:c r="A6" s="72" t="str">
        <x:v>Checkout</x:v>
      </x:c>
      <x:c r="B6" s="72" t="str">
        <x:v>Payment and order creation</x:v>
      </x:c>
      <x:c r="C6" s="72" t="n">
        <x:f>COUNTIF('Raw sample'!$N$2:$N$23,A6)</x:f>
        <x:v>0</x:v>
      </x:c>
      <x:c r="D6" s="72" t="n">
        <x:f>COUNTIFS('Raw sample'!$N$2:$N$23,A6,'Raw sample'!$Q$2:$Q$23,"Negative")</x:f>
        <x:v>0</x:v>
      </x:c>
      <x:c r="E6" s="72" t="str">
        <x:v>Validate payment/order state</x:v>
      </x:c>
    </x:row>
    <x:row r="7">
      <x:c r="A7" s="72" t="str">
        <x:v>Delivery</x:v>
      </x:c>
      <x:c r="B7" s="72" t="str">
        <x:v>Tracking, handoff, delivery promise</x:v>
      </x:c>
      <x:c r="C7" s="72" t="n">
        <x:f>COUNTIF('Raw sample'!$N$2:$N$23,A7)</x:f>
        <x:v>6</x:v>
      </x:c>
      <x:c r="D7" s="72" t="n">
        <x:f>COUNTIFS('Raw sample'!$N$2:$N$23,A7,'Raw sample'!$Q$2:$Q$23,"Negative")</x:f>
        <x:v>5</x:v>
      </x:c>
      <x:c r="E7" s="72" t="str">
        <x:v>Primary reliability issue</x:v>
      </x:c>
    </x:row>
    <x:row r="8">
      <x:c r="A8" s="72" t="str">
        <x:v>Post-purchase</x:v>
      </x:c>
      <x:c r="B8" s="72" t="str">
        <x:v>Support, cancellation, issue resolution</x:v>
      </x:c>
      <x:c r="C8" s="72" t="n">
        <x:f>COUNTIF('Raw sample'!$N$2:$N$23,A8)</x:f>
        <x:v>4</x:v>
      </x:c>
      <x:c r="D8" s="72" t="n">
        <x:f>COUNTIFS('Raw sample'!$N$2:$N$23,A8,'Raw sample'!$Q$2:$Q$23,"Negative")</x:f>
        <x:v>4</x:v>
      </x:c>
      <x:c r="E8" s="72" t="str">
        <x:v>Primary ownership issue</x:v>
      </x:c>
    </x:row>
    <x:row r="9">
      <x:c r="A9" s="72" t="str">
        <x:v>Returns</x:v>
      </x:c>
      <x:c r="B9" s="72" t="str">
        <x:v>Return, refund, replacement</x:v>
      </x:c>
      <x:c r="C9" s="72" t="n">
        <x:f>COUNTIF('Raw sample'!$N$2:$N$23,A9)</x:f>
        <x:v>3</x:v>
      </x:c>
      <x:c r="D9" s="72" t="n">
        <x:f>COUNTIFS('Raw sample'!$N$2:$N$23,A9,'Raw sample'!$Q$2:$Q$23,"Negative")</x:f>
        <x:v>3</x:v>
      </x:c>
      <x:c r="E9" s="72" t="str">
        <x:v>High financial/trust risk</x:v>
      </x:c>
    </x:row>
    <x:row r="10">
      <x:c r="A10" s="72" t="str">
        <x:v>Multiple</x:v>
      </x:c>
      <x:c r="B10" s="72" t="str">
        <x:v>Aggregate/context records</x:v>
      </x:c>
      <x:c r="C10" s="72" t="n">
        <x:f>COUNTIF('Raw sample'!$N$2:$N$23,A10)</x:f>
        <x:v>6</x:v>
      </x:c>
      <x:c r="D10" s="72" t="n">
        <x:f>COUNTIFS('Raw sample'!$N$2:$N$23,A10,'Raw sample'!$Q$2:$Q$23,"Negative")</x:f>
        <x:v>3</x:v>
      </x:c>
      <x:c r="E10" s="72" t="str">
        <x:v>Use only for directional context</x:v>
      </x:c>
    </x:row>
    <x:row r="11">
      <x:c r="A11" s="72" t="str">
        <x:v>Total</x:v>
      </x:c>
      <x:c r="B11" s="72" t="str">
        <x:v>All records</x:v>
      </x:c>
      <x:c r="C11" s="72" t="n">
        <x:f>COUNTA('Raw sample'!$A$2:$A$23)</x:f>
        <x:v>22</x:v>
      </x:c>
      <x:c r="D11" s="72" t="n">
        <x:f>COUNTIF('Raw sample'!$Q$2:$Q$23,"Negative")</x:f>
        <x:v>17</x:v>
      </x:c>
      <x:c r="E11" s="72" t="str">
        <x:v>Directional sample only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14" hidden="0" customWidth="1"/>
    <x:col min="4" max="4" width="36" hidden="0" customWidth="1"/>
  </x:cols>
  <x:sheetData>
    <x:row r="1" ht="28" customHeight="1">
      <x:c r="A1" s="66" t="str">
        <x:v>Severity Analysis</x:v>
      </x:c>
      <x:c r="B1" s="67"/>
      <x:c r="C1" s="67"/>
      <x:c r="D1" s="67"/>
    </x:row>
    <x:row r="2" ht="30" customHeight="1">
      <x:c r="A2" s="68" t="str">
        <x:v>Severity is a research judgment; use it for prioritization, not as a measured loss estimate.</x:v>
      </x:c>
      <x:c r="B2" s="67"/>
      <x:c r="C2" s="67"/>
      <x:c r="D2" s="67"/>
    </x:row>
    <x:row r="3">
      <x:c r="A3" s="67"/>
      <x:c r="B3" s="67"/>
      <x:c r="C3" s="67"/>
      <x:c r="D3" s="67"/>
    </x:row>
    <x:row r="4">
      <x:c r="A4" s="69" t="str">
        <x:v>Severity</x:v>
      </x:c>
      <x:c r="B4" s="82" t="str">
        <x:v>Definition</x:v>
      </x:c>
      <x:c r="C4" s="82" t="str">
        <x:v>Count</x:v>
      </x:c>
      <x:c r="D4" s="70" t="str">
        <x:v>Interpretation</x:v>
      </x:c>
    </x:row>
    <x:row r="5">
      <x:c r="A5" s="71" t="str">
        <x:v>Low</x:v>
      </x:c>
      <x:c r="B5" s="71" t="str">
        <x:v>Inconvenience with limited harm</x:v>
      </x:c>
      <x:c r="C5" s="71" t="n">
        <x:f>COUNTIF('Raw sample'!$R$2:$R$23,A5)</x:f>
        <x:v>4</x:v>
      </x:c>
      <x:c r="D5" s="71" t="str">
        <x:v>Monitor</x:v>
      </x:c>
    </x:row>
    <x:row r="6">
      <x:c r="A6" s="72" t="str">
        <x:v>Medium</x:v>
      </x:c>
      <x:c r="B6" s="72" t="str">
        <x:v>Meaningful friction or preference risk</x:v>
      </x:c>
      <x:c r="C6" s="72" t="n">
        <x:f>COUNTIF('Raw sample'!$R$2:$R$23,A6)</x:f>
        <x:v>2</x:v>
      </x:c>
      <x:c r="D6" s="72" t="str">
        <x:v>Validate</x:v>
      </x:c>
    </x:row>
    <x:row r="7">
      <x:c r="A7" s="72" t="str">
        <x:v>High</x:v>
      </x:c>
      <x:c r="B7" s="72" t="str">
        <x:v>Repeated effort, trust, financial, or support harm</x:v>
      </x:c>
      <x:c r="C7" s="72" t="n">
        <x:f>COUNTIF('Raw sample'!$R$2:$R$23,A7)</x:f>
        <x:v>13</x:v>
      </x:c>
      <x:c r="D7" s="72" t="str">
        <x:v>Prioritize</x:v>
      </x:c>
    </x:row>
    <x:row r="8">
      <x:c r="A8" s="72" t="str">
        <x:v>Critical</x:v>
      </x:c>
      <x:c r="B8" s="72" t="str">
        <x:v>Major financial loss, deadline failure, or severe trust break</x:v>
      </x:c>
      <x:c r="C8" s="72" t="n">
        <x:f>COUNTIF('Raw sample'!$R$2:$R$23,A8)</x:f>
        <x:v>3</x:v>
      </x:c>
      <x:c r="D8" s="72" t="str">
        <x:v>Escalate</x:v>
      </x:c>
    </x:row>
  </x:sheetData>
  <x:mergeCells>
    <x:mergeCell ref="A1:D1"/>
    <x:mergeCell ref="A2:D2"/>
  </x:mergeCells>
  <x:pageMargins left="0.7" right="0.7" top="0.75" bottom="0.75" header="0.3" footer="0.3"/>
</x:worksheet>
</file>